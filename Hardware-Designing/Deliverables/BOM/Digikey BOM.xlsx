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931"/>
  <workbookPr/>
  <mc:AlternateContent xmlns:mc="http://schemas.openxmlformats.org/markup-compatibility/2006">
    <mc:Choice Requires="x15">
      <x15ac:absPath xmlns:x15ac="http://schemas.microsoft.com/office/spreadsheetml/2010/11/ac" url="C:\GitHub\ShockSensor-George\Hardware-Designing\Deliverables\BOM\"/>
    </mc:Choice>
  </mc:AlternateContent>
  <xr:revisionPtr revIDLastSave="0" documentId="13_ncr:1_{E4710327-3B37-4D81-8262-4CC2C9195E4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38" i="1" l="1"/>
  <c r="N38" i="1"/>
  <c r="P18" i="1" l="1"/>
  <c r="K18" i="1"/>
  <c r="P17" i="1"/>
  <c r="N17" i="1"/>
  <c r="N18" i="1"/>
  <c r="K17" i="1"/>
  <c r="P16" i="1"/>
  <c r="N16" i="1"/>
  <c r="K16" i="1"/>
  <c r="N12" i="1"/>
  <c r="K12" i="1"/>
  <c r="P12" i="1" s="1"/>
  <c r="N3" i="1"/>
  <c r="N8" i="1"/>
  <c r="N9" i="1"/>
  <c r="N10" i="1"/>
  <c r="N11" i="1"/>
  <c r="N4" i="1"/>
  <c r="N15" i="1"/>
  <c r="K15" i="1"/>
  <c r="P15" i="1" s="1"/>
  <c r="K11" i="1" l="1"/>
  <c r="P11" i="1" s="1"/>
  <c r="K10" i="1"/>
  <c r="P10" i="1" s="1"/>
  <c r="K9" i="1"/>
  <c r="P9" i="1" s="1"/>
  <c r="K8" i="1"/>
  <c r="P8" i="1" s="1"/>
  <c r="K4" i="1"/>
  <c r="P4" i="1" s="1"/>
  <c r="K37" i="1"/>
  <c r="K36" i="1"/>
  <c r="N35" i="1"/>
  <c r="K35" i="1"/>
  <c r="P35" i="1" s="1"/>
  <c r="N34" i="1"/>
  <c r="K34" i="1"/>
  <c r="P34" i="1" s="1"/>
  <c r="N33" i="1"/>
  <c r="K33" i="1"/>
  <c r="P33" i="1" s="1"/>
  <c r="N32" i="1"/>
  <c r="K32" i="1"/>
  <c r="P32" i="1" s="1"/>
  <c r="N31" i="1"/>
  <c r="K31" i="1"/>
  <c r="P31" i="1" s="1"/>
  <c r="N30" i="1"/>
  <c r="K30" i="1"/>
  <c r="P30" i="1" s="1"/>
  <c r="N29" i="1"/>
  <c r="K29" i="1"/>
  <c r="P29" i="1" s="1"/>
  <c r="N28" i="1"/>
  <c r="K28" i="1"/>
  <c r="P28" i="1" s="1"/>
  <c r="N27" i="1"/>
  <c r="K27" i="1"/>
  <c r="P27" i="1" s="1"/>
  <c r="N26" i="1"/>
  <c r="K26" i="1"/>
  <c r="P26" i="1" s="1"/>
  <c r="N25" i="1"/>
  <c r="K25" i="1"/>
  <c r="P25" i="1" s="1"/>
  <c r="N24" i="1"/>
  <c r="K24" i="1"/>
  <c r="P24" i="1" s="1"/>
  <c r="N23" i="1"/>
  <c r="K23" i="1"/>
  <c r="P23" i="1" s="1"/>
  <c r="N22" i="1"/>
  <c r="K22" i="1"/>
  <c r="P22" i="1" s="1"/>
  <c r="N21" i="1"/>
  <c r="K21" i="1"/>
  <c r="P21" i="1" s="1"/>
  <c r="N20" i="1"/>
  <c r="K20" i="1"/>
  <c r="P20" i="1" s="1"/>
  <c r="N19" i="1"/>
  <c r="K19" i="1"/>
  <c r="P19" i="1" s="1"/>
  <c r="N14" i="1"/>
  <c r="K14" i="1"/>
  <c r="P14" i="1" s="1"/>
  <c r="N13" i="1"/>
  <c r="K13" i="1"/>
  <c r="P13" i="1" s="1"/>
  <c r="N7" i="1"/>
  <c r="K7" i="1"/>
  <c r="P7" i="1" s="1"/>
  <c r="N6" i="1"/>
  <c r="K6" i="1"/>
  <c r="P6" i="1" s="1"/>
  <c r="N5" i="1"/>
  <c r="K5" i="1"/>
  <c r="P5" i="1" s="1"/>
  <c r="K3" i="1"/>
  <c r="P3" i="1" s="1"/>
  <c r="P39" i="1" l="1"/>
  <c r="N39" i="1"/>
</calcChain>
</file>

<file path=xl/sharedStrings.xml><?xml version="1.0" encoding="utf-8"?>
<sst xmlns="http://schemas.openxmlformats.org/spreadsheetml/2006/main" count="323" uniqueCount="192">
  <si>
    <t>Bill of Material (BOM) for  George (Rack Monitor)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</si>
  <si>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</si>
  <si>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</si>
  <si>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</si>
  <si>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</si>
  <si>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</si>
  <si>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</si>
  <si>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</si>
  <si>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</si>
  <si>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Value</t>
  </si>
  <si>
    <t>Quantity (Per Board)</t>
  </si>
  <si>
    <t>Quantity 5</t>
  </si>
  <si>
    <t>Link</t>
  </si>
  <si>
    <t>Unit Cost(1)</t>
  </si>
  <si>
    <t>Total Cost(1)</t>
  </si>
  <si>
    <t>Unit Cost (5 Boards)</t>
  </si>
  <si>
    <t>Total Cost (5)</t>
  </si>
  <si>
    <t>Remarks</t>
  </si>
  <si>
    <t>Capacitors</t>
  </si>
  <si>
    <t xml:space="preserve">CAP CER 0.1UF 50V X7R 0603
</t>
  </si>
  <si>
    <t>CAP-0603</t>
  </si>
  <si>
    <t>CL10B104KB8NNNL</t>
  </si>
  <si>
    <t xml:space="preserve">Samsung 
</t>
  </si>
  <si>
    <t>-</t>
  </si>
  <si>
    <t>0.1uF</t>
  </si>
  <si>
    <t>Digikey</t>
  </si>
  <si>
    <t>CAP CER 4.7UF 25V X5R 0603</t>
  </si>
  <si>
    <t>C10, C12</t>
  </si>
  <si>
    <t>GRM188R61E475KE11D</t>
  </si>
  <si>
    <t>Murata</t>
  </si>
  <si>
    <t>4.7uF</t>
  </si>
  <si>
    <t xml:space="preserve">CAP CER 1UF 25V X5R 0603
</t>
  </si>
  <si>
    <t>C5, C6</t>
  </si>
  <si>
    <t>CL10A105KA8NNNC</t>
  </si>
  <si>
    <t>1uF</t>
  </si>
  <si>
    <t>LED</t>
  </si>
  <si>
    <t>LED GREEN CLEAR CHIP SMD</t>
  </si>
  <si>
    <t>LED 0402</t>
  </si>
  <si>
    <t>XZVG68W-2</t>
  </si>
  <si>
    <t>SunLED</t>
  </si>
  <si>
    <t>Mosfet</t>
  </si>
  <si>
    <t>MOSFET N-Channel 60V 0.115A SOT523</t>
  </si>
  <si>
    <t>Q1</t>
  </si>
  <si>
    <t>SOT-523</t>
  </si>
  <si>
    <t>2N7002T-7-F</t>
  </si>
  <si>
    <t xml:space="preserve">Diodes 
</t>
  </si>
  <si>
    <t xml:space="preserve">TRANS NPN 40V 0.6A SMD SOT23-3
</t>
  </si>
  <si>
    <t>Q2, Q3</t>
  </si>
  <si>
    <t>sot-23</t>
  </si>
  <si>
    <t>MMBT2222A-7-F</t>
  </si>
  <si>
    <t>Resistors</t>
  </si>
  <si>
    <t xml:space="preserve">RES SMD 10K OHM 5% 1/5W 0603
</t>
  </si>
  <si>
    <t>RES-0603</t>
  </si>
  <si>
    <t>CRGH0603J10K</t>
  </si>
  <si>
    <t>TE Connectivity</t>
  </si>
  <si>
    <t>10K</t>
  </si>
  <si>
    <t>TRIMMER 10K OHM 0.1W J LEAD TOP</t>
  </si>
  <si>
    <t>R7</t>
  </si>
  <si>
    <t>Custom</t>
  </si>
  <si>
    <t>TC33X-2-103E</t>
  </si>
  <si>
    <t xml:space="preserve">Bourns Inc.
</t>
  </si>
  <si>
    <t>RES SMD 4.7K OHM 1% 1/10W 0603</t>
  </si>
  <si>
    <t>R9, R26</t>
  </si>
  <si>
    <t>RC0603FR-074K7L</t>
  </si>
  <si>
    <t>YAGEO</t>
  </si>
  <si>
    <t>4.7K</t>
  </si>
  <si>
    <t xml:space="preserve">RES 470K OHM 1% 1/10W 0603
</t>
  </si>
  <si>
    <t>R10</t>
  </si>
  <si>
    <t>RC0603FR-13470KL</t>
  </si>
  <si>
    <t>470K</t>
  </si>
  <si>
    <t xml:space="preserve">RES SMD 560 OHM 1% 1/10W 0603
</t>
  </si>
  <si>
    <t>RC0603FR-07560RL</t>
  </si>
  <si>
    <t>560R</t>
  </si>
  <si>
    <t>RES 1K OHM 5% 1/10W 0603</t>
  </si>
  <si>
    <t>R18</t>
  </si>
  <si>
    <t>RMCF0603JJ1K00</t>
  </si>
  <si>
    <t xml:space="preserve">Stackpole </t>
  </si>
  <si>
    <t>1K</t>
  </si>
  <si>
    <t>RES SMD 22.1K OHM 1% 1/10W 0603</t>
  </si>
  <si>
    <t>R19</t>
  </si>
  <si>
    <t>ERJ-3EKF2212V</t>
  </si>
  <si>
    <t xml:space="preserve">Panasonic </t>
  </si>
  <si>
    <t>22.1K</t>
  </si>
  <si>
    <t xml:space="preserve">RES 47.5K OHM 1% 1/10W 0603
</t>
  </si>
  <si>
    <t>R20</t>
  </si>
  <si>
    <t>RC0603FR-0747K5L</t>
  </si>
  <si>
    <t>45.K</t>
  </si>
  <si>
    <t xml:space="preserve">RES 100K OHM 5% 1/10W 0603
</t>
  </si>
  <si>
    <t>R22, R23, R24, R25</t>
  </si>
  <si>
    <t>RC0603JR-07100KL</t>
  </si>
  <si>
    <t>100K</t>
  </si>
  <si>
    <t>Sensor</t>
  </si>
  <si>
    <t>Vibration sensor</t>
  </si>
  <si>
    <t>S1</t>
  </si>
  <si>
    <t>SW-420</t>
  </si>
  <si>
    <t>Switch</t>
  </si>
  <si>
    <t>SWITCH TACTILE SPST-NO 0.05A 12V</t>
  </si>
  <si>
    <t>SW1, SW2</t>
  </si>
  <si>
    <t>B3U-1000P</t>
  </si>
  <si>
    <t xml:space="preserve">Omron </t>
  </si>
  <si>
    <t>IC</t>
  </si>
  <si>
    <t>U1</t>
  </si>
  <si>
    <t xml:space="preserve">Espressif Systems
</t>
  </si>
  <si>
    <t xml:space="preserve">IC COMP DUAL VOLT LP 8SOIC
</t>
  </si>
  <si>
    <t>U3</t>
  </si>
  <si>
    <t>8-SOIC</t>
  </si>
  <si>
    <t>LM393ADT</t>
  </si>
  <si>
    <t>STMicroelectronics</t>
  </si>
  <si>
    <t xml:space="preserve">IC REG LINEAR 3.3V 1A 6DFN
</t>
  </si>
  <si>
    <t>U4</t>
  </si>
  <si>
    <t>6-DFN (3x3)</t>
  </si>
  <si>
    <t>NCP692MN33T2G</t>
  </si>
  <si>
    <t>onsemi</t>
  </si>
  <si>
    <t>IC USB TO UART BRIDGE QFN24</t>
  </si>
  <si>
    <t>U5</t>
  </si>
  <si>
    <t>CP2102N-A02-GQFN24R</t>
  </si>
  <si>
    <t xml:space="preserve">Silicon Labs
</t>
  </si>
  <si>
    <t>Connector</t>
  </si>
  <si>
    <t>CONN RCPT USB2.0 MICRO B SMD R/A</t>
  </si>
  <si>
    <t>J1</t>
  </si>
  <si>
    <t>10118194-0001LF</t>
  </si>
  <si>
    <t xml:space="preserve">Amphenol </t>
  </si>
  <si>
    <t>Solder Bridge ON</t>
  </si>
  <si>
    <t>SB1</t>
  </si>
  <si>
    <t>Solder Bridge</t>
  </si>
  <si>
    <t>Do Not Mount</t>
  </si>
  <si>
    <t>Test Point ON</t>
  </si>
  <si>
    <t>P1, P2, P3, P4, P5</t>
  </si>
  <si>
    <t>TEST POINT</t>
  </si>
  <si>
    <t xml:space="preserve">Total Component Cost </t>
  </si>
  <si>
    <t>Single Board Cost</t>
  </si>
  <si>
    <t>C2, C3, C4, C11, C13, C14</t>
  </si>
  <si>
    <t>CAP CER 22UF 16V X5R 0603</t>
  </si>
  <si>
    <t>C1</t>
  </si>
  <si>
    <t>CL10A226MO7JZNC</t>
  </si>
  <si>
    <t>22uF</t>
  </si>
  <si>
    <t>LED2</t>
  </si>
  <si>
    <t>Through_Hole_LED</t>
  </si>
  <si>
    <t>204-10SURT/S530-A3</t>
  </si>
  <si>
    <t>LED3</t>
  </si>
  <si>
    <t>204-10UYOC/S530-A3-L</t>
  </si>
  <si>
    <t>LED4</t>
  </si>
  <si>
    <t>204-10SYGC/S530-E2-L</t>
  </si>
  <si>
    <t>LED5</t>
  </si>
  <si>
    <t>204-10SUBC/C470/S400-A4</t>
  </si>
  <si>
    <t xml:space="preserve">LED RED CLEAR T/H
</t>
  </si>
  <si>
    <t>R12, R13, R14, R27</t>
  </si>
  <si>
    <t xml:space="preserve">MOSFET N/P-CH 60V/50V SC70-6
</t>
  </si>
  <si>
    <t>Q4</t>
  </si>
  <si>
    <t>SOT-363</t>
  </si>
  <si>
    <t>BSS8402DW-7-F</t>
  </si>
  <si>
    <t>LED1</t>
  </si>
  <si>
    <t xml:space="preserve">Everlight </t>
  </si>
  <si>
    <t xml:space="preserve">LED ORANGE CLEAR 3MM T/H
</t>
  </si>
  <si>
    <t xml:space="preserve">3MM YELLOW GREEN LED LAMP
</t>
  </si>
  <si>
    <t xml:space="preserve">LED BLUE CLEAR 3MM T/H
</t>
  </si>
  <si>
    <t>will be arrange from custom supplier</t>
  </si>
  <si>
    <t>Mouser</t>
  </si>
  <si>
    <t>-------</t>
  </si>
  <si>
    <t>--------</t>
  </si>
  <si>
    <t>----------</t>
  </si>
  <si>
    <t>-----------</t>
  </si>
  <si>
    <t>ESP32-S2-WROOM-I(4M)</t>
  </si>
  <si>
    <t xml:space="preserve">18x31x3.3mm WiFi Modules ROHS
</t>
  </si>
  <si>
    <t>----</t>
  </si>
  <si>
    <t>Custom supplier</t>
  </si>
  <si>
    <t>QFN-24</t>
  </si>
  <si>
    <t>DIODE GEN PURP 50V 215MA SOT23</t>
  </si>
  <si>
    <t>D1</t>
  </si>
  <si>
    <t>BAL74,215</t>
  </si>
  <si>
    <t>Diode</t>
  </si>
  <si>
    <t xml:space="preserve">Nexperia </t>
  </si>
  <si>
    <t>MOSFET N-CH 50V 200MA SOT-23</t>
  </si>
  <si>
    <t>Q5</t>
  </si>
  <si>
    <t>BSS138LT1G</t>
  </si>
  <si>
    <t>FERRITE BEAD 600 OHM 0201 1LN</t>
  </si>
  <si>
    <t>L1</t>
  </si>
  <si>
    <t>IND 0201</t>
  </si>
  <si>
    <t>MMZ0603S601CT000</t>
  </si>
  <si>
    <t xml:space="preserve">
TDK Corporation</t>
  </si>
  <si>
    <t>Inductor</t>
  </si>
  <si>
    <t>NO 2700Hz 85dB @ 3V, 10cm 3V Φ9mm SMD,9x3.2mm Buzzers RoHS</t>
  </si>
  <si>
    <t>LS1</t>
  </si>
  <si>
    <t>YS-SBZ9032C03R16</t>
  </si>
  <si>
    <t>Buzzer</t>
  </si>
  <si>
    <t xml:space="preserve">Fengming </t>
  </si>
  <si>
    <t xml:space="preserve">AST0927MW-03TRQ
</t>
  </si>
  <si>
    <t>R2, R6, R8, R11, R15, R16</t>
  </si>
  <si>
    <t>47R</t>
  </si>
  <si>
    <t>RES SMD 47 OHM 0.1% 1/10W 0603</t>
  </si>
  <si>
    <t>R1</t>
  </si>
  <si>
    <t>RT0603BRD0747RL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</si>
</sst>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000"/>
    <numFmt numFmtId="165" formatCode="_-[$$-409]* #,##0.00_ ;_-[$$-409]* \-#,##0.00\ ;_-[$$-409]* &quot;-&quot;??_ ;_-@_ "/>
  </numFmts>
  <fonts count="16">
    <font>
      <sz val="11"/>
      <color theme="1"/>
      <name val="Calibri"/>
      <charset val="134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4"/>
      <name val="Calibri"/>
      <family val="2"/>
      <scheme val="minor"/>
    </font>
    <font>
      <sz val="10"/>
      <name val="Calibri"/>
      <family val="2"/>
      <scheme val="minor"/>
    </font>
    <font>
      <u/>
      <sz val="10"/>
      <color theme="10"/>
      <name val="Arial"/>
      <family val="2"/>
    </font>
    <font>
      <b/>
      <sz val="14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trike/>
      <sz val="12"/>
      <color rgb="FFFF0000"/>
      <name val="Calibri"/>
      <family val="2"/>
      <scheme val="minor"/>
    </font>
    <font>
      <b/>
      <sz val="10"/>
      <name val="Calibri"/>
      <family val="2"/>
      <scheme val="minor"/>
    </font>
    <font>
      <strike/>
      <u/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auto="1"/>
      </right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>
      <alignment vertical="top"/>
      <protection locked="0"/>
    </xf>
  </cellStyleXfs>
  <cellXfs count="136">
    <xf numFmtId="0" fontId="0" fillId="0" borderId="0" xfId="0"/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4" fillId="0" borderId="6" xfId="0" applyFont="1" applyFill="1" applyBorder="1" applyAlignment="1">
      <alignment vertical="center"/>
    </xf>
    <xf numFmtId="0" fontId="4" fillId="3" borderId="7" xfId="0" applyFont="1" applyFill="1" applyBorder="1" applyAlignment="1">
      <alignment horizontal="center" vertical="center"/>
    </xf>
    <xf numFmtId="0" fontId="4" fillId="0" borderId="9" xfId="0" applyFont="1" applyFill="1" applyBorder="1" applyAlignment="1">
      <alignment vertical="center"/>
    </xf>
    <xf numFmtId="0" fontId="4" fillId="0" borderId="10" xfId="0" applyFont="1" applyFill="1" applyBorder="1" applyAlignment="1">
      <alignment horizontal="center" vertical="center" wrapText="1"/>
    </xf>
    <xf numFmtId="0" fontId="4" fillId="3" borderId="10" xfId="0" applyFont="1" applyFill="1" applyBorder="1" applyAlignment="1">
      <alignment horizontal="center" vertical="center"/>
    </xf>
    <xf numFmtId="0" fontId="4" fillId="0" borderId="12" xfId="0" applyFont="1" applyFill="1" applyBorder="1" applyAlignment="1">
      <alignment vertical="center"/>
    </xf>
    <xf numFmtId="0" fontId="4" fillId="0" borderId="13" xfId="0" applyFont="1" applyFill="1" applyBorder="1" applyAlignment="1">
      <alignment horizontal="center" vertical="center" wrapText="1"/>
    </xf>
    <xf numFmtId="0" fontId="4" fillId="3" borderId="13" xfId="0" applyFont="1" applyFill="1" applyBorder="1" applyAlignment="1">
      <alignment horizontal="center" vertical="center"/>
    </xf>
    <xf numFmtId="0" fontId="4" fillId="0" borderId="7" xfId="0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4" fillId="0" borderId="18" xfId="0" applyFont="1" applyFill="1" applyBorder="1" applyAlignment="1">
      <alignment horizontal="center" vertical="center" wrapText="1"/>
    </xf>
    <xf numFmtId="0" fontId="4" fillId="3" borderId="18" xfId="0" applyFont="1" applyFill="1" applyBorder="1" applyAlignment="1">
      <alignment horizontal="center" vertical="center"/>
    </xf>
    <xf numFmtId="164" fontId="5" fillId="3" borderId="7" xfId="0" applyNumberFormat="1" applyFont="1" applyFill="1" applyBorder="1" applyAlignment="1">
      <alignment horizontal="center" vertical="center"/>
    </xf>
    <xf numFmtId="164" fontId="4" fillId="3" borderId="7" xfId="0" applyNumberFormat="1" applyFont="1" applyFill="1" applyBorder="1" applyAlignment="1">
      <alignment horizontal="center" vertical="center"/>
    </xf>
    <xf numFmtId="0" fontId="7" fillId="3" borderId="10" xfId="1" applyFont="1" applyFill="1" applyBorder="1" applyAlignment="1" applyProtection="1">
      <alignment horizontal="center" vertical="center"/>
    </xf>
    <xf numFmtId="164" fontId="5" fillId="3" borderId="10" xfId="0" applyNumberFormat="1" applyFont="1" applyFill="1" applyBorder="1" applyAlignment="1">
      <alignment horizontal="center" vertical="center"/>
    </xf>
    <xf numFmtId="164" fontId="4" fillId="3" borderId="10" xfId="0" applyNumberFormat="1" applyFont="1" applyFill="1" applyBorder="1" applyAlignment="1">
      <alignment horizontal="center" vertical="center"/>
    </xf>
    <xf numFmtId="164" fontId="5" fillId="3" borderId="13" xfId="0" applyNumberFormat="1" applyFont="1" applyFill="1" applyBorder="1" applyAlignment="1">
      <alignment horizontal="center" vertical="center"/>
    </xf>
    <xf numFmtId="164" fontId="4" fillId="3" borderId="13" xfId="0" applyNumberFormat="1" applyFont="1" applyFill="1" applyBorder="1" applyAlignment="1">
      <alignment horizontal="center" vertical="center"/>
    </xf>
    <xf numFmtId="164" fontId="5" fillId="3" borderId="18" xfId="0" applyNumberFormat="1" applyFont="1" applyFill="1" applyBorder="1" applyAlignment="1">
      <alignment horizontal="center" vertical="center"/>
    </xf>
    <xf numFmtId="164" fontId="4" fillId="3" borderId="18" xfId="0" applyNumberFormat="1" applyFont="1" applyFill="1" applyBorder="1" applyAlignment="1">
      <alignment horizontal="center" vertical="center"/>
    </xf>
    <xf numFmtId="165" fontId="8" fillId="3" borderId="0" xfId="0" applyNumberFormat="1" applyFont="1" applyFill="1" applyAlignment="1"/>
    <xf numFmtId="165" fontId="8" fillId="3" borderId="0" xfId="0" applyNumberFormat="1" applyFont="1" applyFill="1" applyBorder="1" applyAlignment="1"/>
    <xf numFmtId="165" fontId="8" fillId="3" borderId="2" xfId="0" applyNumberFormat="1" applyFont="1" applyFill="1" applyBorder="1" applyAlignment="1">
      <alignment horizontal="center"/>
    </xf>
    <xf numFmtId="164" fontId="5" fillId="3" borderId="21" xfId="0" applyNumberFormat="1" applyFont="1" applyFill="1" applyBorder="1" applyAlignment="1">
      <alignment horizontal="left" vertical="center"/>
    </xf>
    <xf numFmtId="164" fontId="5" fillId="3" borderId="22" xfId="0" applyNumberFormat="1" applyFont="1" applyFill="1" applyBorder="1" applyAlignment="1">
      <alignment horizontal="left" vertical="center"/>
    </xf>
    <xf numFmtId="164" fontId="5" fillId="3" borderId="23" xfId="0" applyNumberFormat="1" applyFont="1" applyFill="1" applyBorder="1" applyAlignment="1">
      <alignment horizontal="left" vertical="center"/>
    </xf>
    <xf numFmtId="164" fontId="4" fillId="3" borderId="22" xfId="0" applyNumberFormat="1" applyFont="1" applyFill="1" applyBorder="1" applyAlignment="1">
      <alignment horizontal="center" vertical="center"/>
    </xf>
    <xf numFmtId="164" fontId="4" fillId="3" borderId="23" xfId="0" applyNumberFormat="1" applyFont="1" applyFill="1" applyBorder="1" applyAlignment="1">
      <alignment horizontal="center" vertical="center"/>
    </xf>
    <xf numFmtId="164" fontId="5" fillId="3" borderId="24" xfId="0" applyNumberFormat="1" applyFont="1" applyFill="1" applyBorder="1" applyAlignment="1">
      <alignment horizontal="left" vertical="center" wrapText="1" indent="1"/>
    </xf>
    <xf numFmtId="165" fontId="9" fillId="3" borderId="22" xfId="0" applyNumberFormat="1" applyFont="1" applyFill="1" applyBorder="1" applyAlignment="1"/>
    <xf numFmtId="0" fontId="4" fillId="0" borderId="22" xfId="0" applyFont="1" applyBorder="1"/>
    <xf numFmtId="0" fontId="4" fillId="0" borderId="23" xfId="0" applyFont="1" applyBorder="1"/>
    <xf numFmtId="0" fontId="4" fillId="0" borderId="7" xfId="0" quotePrefix="1" applyFont="1" applyFill="1" applyBorder="1" applyAlignment="1">
      <alignment horizontal="center" vertical="center"/>
    </xf>
    <xf numFmtId="0" fontId="4" fillId="0" borderId="7" xfId="0" quotePrefix="1" applyFont="1" applyFill="1" applyBorder="1" applyAlignment="1">
      <alignment horizontal="center" vertical="center" wrapText="1"/>
    </xf>
    <xf numFmtId="0" fontId="4" fillId="0" borderId="9" xfId="0" quotePrefix="1" applyFont="1" applyFill="1" applyBorder="1" applyAlignment="1">
      <alignment vertical="center"/>
    </xf>
    <xf numFmtId="0" fontId="4" fillId="0" borderId="10" xfId="0" quotePrefix="1" applyFont="1" applyFill="1" applyBorder="1" applyAlignment="1">
      <alignment horizontal="center" vertical="center" wrapText="1"/>
    </xf>
    <xf numFmtId="0" fontId="4" fillId="0" borderId="13" xfId="0" quotePrefix="1" applyFont="1" applyFill="1" applyBorder="1" applyAlignment="1">
      <alignment horizontal="center" vertical="center" wrapText="1"/>
    </xf>
    <xf numFmtId="0" fontId="4" fillId="0" borderId="14" xfId="0" quotePrefix="1" applyFont="1" applyFill="1" applyBorder="1" applyAlignment="1">
      <alignment horizontal="center" vertical="center" wrapText="1"/>
    </xf>
    <xf numFmtId="0" fontId="4" fillId="0" borderId="9" xfId="0" quotePrefix="1" applyFont="1" applyFill="1" applyBorder="1" applyAlignment="1">
      <alignment vertical="center" wrapText="1"/>
    </xf>
    <xf numFmtId="0" fontId="4" fillId="0" borderId="16" xfId="0" quotePrefix="1" applyFont="1" applyFill="1" applyBorder="1" applyAlignment="1">
      <alignment horizontal="center" vertical="center" wrapText="1"/>
    </xf>
    <xf numFmtId="0" fontId="4" fillId="0" borderId="17" xfId="0" quotePrefix="1" applyFont="1" applyFill="1" applyBorder="1" applyAlignment="1">
      <alignment vertical="center" wrapText="1"/>
    </xf>
    <xf numFmtId="0" fontId="4" fillId="0" borderId="18" xfId="0" quotePrefix="1" applyFont="1" applyFill="1" applyBorder="1" applyAlignment="1">
      <alignment horizontal="center" vertical="center" wrapText="1"/>
    </xf>
    <xf numFmtId="0" fontId="4" fillId="0" borderId="12" xfId="0" quotePrefix="1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3" fillId="0" borderId="8" xfId="0" applyFont="1" applyFill="1" applyBorder="1" applyAlignment="1">
      <alignment horizontal="center" vertical="center"/>
    </xf>
    <xf numFmtId="0" fontId="4" fillId="3" borderId="25" xfId="0" applyFont="1" applyFill="1" applyBorder="1" applyAlignment="1">
      <alignment horizontal="center" vertical="center"/>
    </xf>
    <xf numFmtId="0" fontId="4" fillId="0" borderId="25" xfId="0" quotePrefix="1" applyFont="1" applyFill="1" applyBorder="1" applyAlignment="1">
      <alignment horizontal="center" vertical="center" wrapText="1"/>
    </xf>
    <xf numFmtId="164" fontId="5" fillId="3" borderId="25" xfId="0" applyNumberFormat="1" applyFont="1" applyFill="1" applyBorder="1" applyAlignment="1">
      <alignment horizontal="center" vertical="center"/>
    </xf>
    <xf numFmtId="164" fontId="4" fillId="3" borderId="25" xfId="0" applyNumberFormat="1" applyFont="1" applyFill="1" applyBorder="1" applyAlignment="1">
      <alignment horizontal="center" vertical="center"/>
    </xf>
    <xf numFmtId="164" fontId="5" fillId="3" borderId="26" xfId="0" applyNumberFormat="1" applyFont="1" applyFill="1" applyBorder="1" applyAlignment="1">
      <alignment horizontal="left" vertical="center"/>
    </xf>
    <xf numFmtId="0" fontId="4" fillId="3" borderId="27" xfId="0" applyFont="1" applyFill="1" applyBorder="1" applyAlignment="1">
      <alignment horizontal="center" vertical="center"/>
    </xf>
    <xf numFmtId="0" fontId="4" fillId="0" borderId="28" xfId="0" quotePrefix="1" applyFont="1" applyFill="1" applyBorder="1" applyAlignment="1">
      <alignment vertical="center" wrapText="1"/>
    </xf>
    <xf numFmtId="0" fontId="4" fillId="0" borderId="25" xfId="0" applyFont="1" applyFill="1" applyBorder="1" applyAlignment="1">
      <alignment horizontal="center" vertical="center" wrapText="1"/>
    </xf>
    <xf numFmtId="0" fontId="4" fillId="3" borderId="25" xfId="0" applyFont="1" applyFill="1" applyBorder="1" applyAlignment="1">
      <alignment horizontal="center" vertical="center" wrapText="1"/>
    </xf>
    <xf numFmtId="0" fontId="4" fillId="0" borderId="26" xfId="0" applyFont="1" applyBorder="1"/>
    <xf numFmtId="0" fontId="4" fillId="3" borderId="10" xfId="0" quotePrefix="1" applyFont="1" applyFill="1" applyBorder="1" applyAlignment="1">
      <alignment horizontal="center" vertical="center" wrapText="1"/>
    </xf>
    <xf numFmtId="0" fontId="4" fillId="3" borderId="13" xfId="0" quotePrefix="1" applyFont="1" applyFill="1" applyBorder="1" applyAlignment="1">
      <alignment horizontal="center" vertical="center" wrapText="1"/>
    </xf>
    <xf numFmtId="0" fontId="4" fillId="3" borderId="18" xfId="0" quotePrefix="1" applyFont="1" applyFill="1" applyBorder="1" applyAlignment="1">
      <alignment horizontal="center" vertical="center" wrapText="1"/>
    </xf>
    <xf numFmtId="0" fontId="4" fillId="3" borderId="25" xfId="0" quotePrefix="1" applyFont="1" applyFill="1" applyBorder="1" applyAlignment="1">
      <alignment horizontal="center" vertical="center" wrapText="1"/>
    </xf>
    <xf numFmtId="0" fontId="4" fillId="0" borderId="28" xfId="0" quotePrefix="1" applyFont="1" applyFill="1" applyBorder="1" applyAlignment="1">
      <alignment vertical="center"/>
    </xf>
    <xf numFmtId="0" fontId="4" fillId="0" borderId="6" xfId="0" quotePrefix="1" applyFont="1" applyFill="1" applyBorder="1" applyAlignment="1">
      <alignment vertical="center"/>
    </xf>
    <xf numFmtId="0" fontId="4" fillId="3" borderId="7" xfId="0" quotePrefix="1" applyFont="1" applyFill="1" applyBorder="1" applyAlignment="1">
      <alignment horizontal="center" vertical="center"/>
    </xf>
    <xf numFmtId="0" fontId="4" fillId="0" borderId="29" xfId="0" quotePrefix="1" applyFont="1" applyFill="1" applyBorder="1" applyAlignment="1">
      <alignment vertical="center" wrapText="1"/>
    </xf>
    <xf numFmtId="0" fontId="4" fillId="3" borderId="27" xfId="0" quotePrefix="1" applyFont="1" applyFill="1" applyBorder="1" applyAlignment="1">
      <alignment horizontal="center" vertical="center" wrapText="1"/>
    </xf>
    <xf numFmtId="0" fontId="4" fillId="0" borderId="27" xfId="0" quotePrefix="1" applyFont="1" applyFill="1" applyBorder="1" applyAlignment="1">
      <alignment horizontal="center" vertical="center" wrapText="1"/>
    </xf>
    <xf numFmtId="164" fontId="5" fillId="3" borderId="27" xfId="0" applyNumberFormat="1" applyFont="1" applyFill="1" applyBorder="1" applyAlignment="1">
      <alignment horizontal="center" vertical="center"/>
    </xf>
    <xf numFmtId="164" fontId="4" fillId="3" borderId="27" xfId="0" applyNumberFormat="1" applyFont="1" applyFill="1" applyBorder="1" applyAlignment="1">
      <alignment horizontal="center" vertical="center"/>
    </xf>
    <xf numFmtId="164" fontId="5" fillId="3" borderId="30" xfId="0" applyNumberFormat="1" applyFont="1" applyFill="1" applyBorder="1" applyAlignment="1">
      <alignment horizontal="left" vertical="center"/>
    </xf>
    <xf numFmtId="0" fontId="4" fillId="3" borderId="16" xfId="0" quotePrefix="1" applyFont="1" applyFill="1" applyBorder="1" applyAlignment="1">
      <alignment horizontal="center" vertical="center"/>
    </xf>
    <xf numFmtId="0" fontId="7" fillId="3" borderId="27" xfId="1" applyFont="1" applyFill="1" applyBorder="1" applyAlignment="1" applyProtection="1">
      <alignment horizontal="center" vertical="center"/>
    </xf>
    <xf numFmtId="0" fontId="4" fillId="4" borderId="7" xfId="0" quotePrefix="1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/>
    </xf>
    <xf numFmtId="164" fontId="5" fillId="4" borderId="7" xfId="0" applyNumberFormat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12" fillId="4" borderId="9" xfId="0" quotePrefix="1" applyFont="1" applyFill="1" applyBorder="1" applyAlignment="1">
      <alignment vertical="center"/>
    </xf>
    <xf numFmtId="0" fontId="12" fillId="4" borderId="10" xfId="0" quotePrefix="1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horizontal="center" vertical="center" wrapText="1"/>
    </xf>
    <xf numFmtId="0" fontId="13" fillId="4" borderId="22" xfId="0" applyFont="1" applyFill="1" applyBorder="1" applyAlignment="1">
      <alignment horizontal="center" vertical="center"/>
    </xf>
    <xf numFmtId="0" fontId="12" fillId="4" borderId="12" xfId="0" quotePrefix="1" applyFont="1" applyFill="1" applyBorder="1" applyAlignment="1">
      <alignment vertical="center" wrapText="1"/>
    </xf>
    <xf numFmtId="0" fontId="12" fillId="4" borderId="13" xfId="0" quotePrefix="1" applyFont="1" applyFill="1" applyBorder="1" applyAlignment="1">
      <alignment horizontal="center" vertical="center" wrapText="1"/>
    </xf>
    <xf numFmtId="0" fontId="12" fillId="4" borderId="13" xfId="0" applyFont="1" applyFill="1" applyBorder="1" applyAlignment="1">
      <alignment horizontal="center" vertical="center" wrapText="1"/>
    </xf>
    <xf numFmtId="0" fontId="12" fillId="4" borderId="13" xfId="0" applyFont="1" applyFill="1" applyBorder="1" applyAlignment="1">
      <alignment horizontal="center" vertical="center"/>
    </xf>
    <xf numFmtId="0" fontId="13" fillId="4" borderId="23" xfId="0" applyFont="1" applyFill="1" applyBorder="1" applyAlignment="1">
      <alignment horizontal="center" vertical="center"/>
    </xf>
    <xf numFmtId="0" fontId="12" fillId="4" borderId="13" xfId="0" quotePrefix="1" applyFont="1" applyFill="1" applyBorder="1" applyAlignment="1">
      <alignment horizontal="center" vertical="center"/>
    </xf>
    <xf numFmtId="164" fontId="12" fillId="4" borderId="13" xfId="0" quotePrefix="1" applyNumberFormat="1" applyFont="1" applyFill="1" applyBorder="1" applyAlignment="1">
      <alignment horizontal="center" vertical="center"/>
    </xf>
    <xf numFmtId="164" fontId="12" fillId="4" borderId="10" xfId="0" quotePrefix="1" applyNumberFormat="1" applyFont="1" applyFill="1" applyBorder="1" applyAlignment="1">
      <alignment horizontal="center" vertical="center"/>
    </xf>
    <xf numFmtId="165" fontId="14" fillId="4" borderId="21" xfId="0" applyNumberFormat="1" applyFont="1" applyFill="1" applyBorder="1" applyAlignment="1">
      <alignment horizontal="center" vertical="center"/>
    </xf>
    <xf numFmtId="0" fontId="4" fillId="4" borderId="6" xfId="0" quotePrefix="1" applyFont="1" applyFill="1" applyBorder="1" applyAlignment="1">
      <alignment vertical="center"/>
    </xf>
    <xf numFmtId="0" fontId="4" fillId="4" borderId="15" xfId="0" quotePrefix="1" applyFont="1" applyFill="1" applyBorder="1" applyAlignment="1">
      <alignment vertical="center" wrapText="1"/>
    </xf>
    <xf numFmtId="0" fontId="4" fillId="4" borderId="16" xfId="0" quotePrefix="1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4" fillId="4" borderId="16" xfId="0" quotePrefix="1" applyFont="1" applyFill="1" applyBorder="1" applyAlignment="1">
      <alignment horizontal="center" vertical="center"/>
    </xf>
    <xf numFmtId="0" fontId="4" fillId="4" borderId="16" xfId="0" applyFont="1" applyFill="1" applyBorder="1" applyAlignment="1">
      <alignment horizontal="center" vertical="center"/>
    </xf>
    <xf numFmtId="164" fontId="4" fillId="4" borderId="16" xfId="0" applyNumberFormat="1" applyFont="1" applyFill="1" applyBorder="1" applyAlignment="1">
      <alignment horizontal="center" vertical="center"/>
    </xf>
    <xf numFmtId="0" fontId="3" fillId="0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11" fillId="3" borderId="20" xfId="0" applyFont="1" applyFill="1" applyBorder="1" applyAlignment="1">
      <alignment horizontal="center"/>
    </xf>
    <xf numFmtId="0" fontId="11" fillId="3" borderId="2" xfId="0" applyFont="1" applyFill="1" applyBorder="1" applyAlignment="1">
      <alignment horizontal="center"/>
    </xf>
    <xf numFmtId="0" fontId="3" fillId="0" borderId="4" xfId="0" applyFont="1" applyFill="1" applyBorder="1" applyAlignment="1">
      <alignment horizontal="center" vertical="center"/>
    </xf>
    <xf numFmtId="0" fontId="3" fillId="0" borderId="8" xfId="0" applyFont="1" applyFill="1" applyBorder="1" applyAlignment="1">
      <alignment horizontal="center" vertical="center"/>
    </xf>
    <xf numFmtId="0" fontId="3" fillId="0" borderId="11" xfId="0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4" fillId="3" borderId="16" xfId="0" applyFont="1" applyFill="1" applyBorder="1" applyAlignment="1">
      <alignment horizontal="center" vertical="center"/>
    </xf>
    <xf numFmtId="164" fontId="5" fillId="3" borderId="16" xfId="0" applyNumberFormat="1" applyFont="1" applyFill="1" applyBorder="1" applyAlignment="1">
      <alignment horizontal="center" vertical="center"/>
    </xf>
    <xf numFmtId="164" fontId="4" fillId="3" borderId="16" xfId="0" applyNumberFormat="1" applyFont="1" applyFill="1" applyBorder="1" applyAlignment="1">
      <alignment horizontal="center" vertical="center"/>
    </xf>
    <xf numFmtId="164" fontId="5" fillId="3" borderId="31" xfId="0" applyNumberFormat="1" applyFont="1" applyFill="1" applyBorder="1" applyAlignment="1">
      <alignment horizontal="left" vertical="center"/>
    </xf>
    <xf numFmtId="0" fontId="4" fillId="3" borderId="16" xfId="0" applyFont="1" applyFill="1" applyBorder="1" applyAlignment="1">
      <alignment horizontal="center" vertical="center" wrapText="1"/>
    </xf>
    <xf numFmtId="0" fontId="4" fillId="0" borderId="15" xfId="0" applyFont="1" applyFill="1" applyBorder="1" applyAlignment="1">
      <alignment vertical="center"/>
    </xf>
    <xf numFmtId="0" fontId="4" fillId="3" borderId="10" xfId="0" applyFont="1" applyFill="1" applyBorder="1" applyAlignment="1">
      <alignment horizontal="center" vertical="center" wrapText="1"/>
    </xf>
    <xf numFmtId="164" fontId="5" fillId="3" borderId="10" xfId="0" applyNumberFormat="1" applyFont="1" applyFill="1" applyBorder="1" applyAlignment="1">
      <alignment horizontal="left" vertical="center"/>
    </xf>
    <xf numFmtId="164" fontId="4" fillId="3" borderId="14" xfId="0" applyNumberFormat="1" applyFont="1" applyFill="1" applyBorder="1" applyAlignment="1">
      <alignment horizontal="center" vertical="center"/>
    </xf>
    <xf numFmtId="0" fontId="4" fillId="0" borderId="17" xfId="0" applyFont="1" applyFill="1" applyBorder="1" applyAlignment="1">
      <alignment vertical="center"/>
    </xf>
    <xf numFmtId="164" fontId="5" fillId="3" borderId="24" xfId="0" applyNumberFormat="1" applyFont="1" applyFill="1" applyBorder="1" applyAlignment="1">
      <alignment horizontal="left" vertical="center"/>
    </xf>
    <xf numFmtId="0" fontId="4" fillId="0" borderId="17" xfId="0" applyFont="1" applyFill="1" applyBorder="1" applyAlignment="1">
      <alignment vertical="center" wrapText="1"/>
    </xf>
    <xf numFmtId="0" fontId="7" fillId="3" borderId="13" xfId="1" applyFont="1" applyFill="1" applyBorder="1" applyAlignment="1" applyProtection="1">
      <alignment horizontal="center" vertical="center"/>
    </xf>
    <xf numFmtId="0" fontId="7" fillId="3" borderId="16" xfId="1" applyFont="1" applyFill="1" applyBorder="1" applyAlignment="1" applyProtection="1">
      <alignment horizontal="center" vertical="center"/>
    </xf>
    <xf numFmtId="0" fontId="7" fillId="3" borderId="7" xfId="1" applyFont="1" applyFill="1" applyBorder="1" applyAlignment="1" applyProtection="1">
      <alignment horizontal="center" vertical="center"/>
    </xf>
    <xf numFmtId="0" fontId="7" fillId="3" borderId="18" xfId="1" applyFont="1" applyFill="1" applyBorder="1" applyAlignment="1" applyProtection="1">
      <alignment horizontal="center" vertical="center"/>
    </xf>
    <xf numFmtId="0" fontId="7" fillId="4" borderId="16" xfId="1" applyFont="1" applyFill="1" applyBorder="1" applyAlignment="1" applyProtection="1">
      <alignment horizontal="center" vertical="center"/>
    </xf>
    <xf numFmtId="0" fontId="7" fillId="4" borderId="18" xfId="1" applyFont="1" applyFill="1" applyBorder="1" applyAlignment="1" applyProtection="1">
      <alignment horizontal="center" vertical="center"/>
    </xf>
    <xf numFmtId="0" fontId="7" fillId="3" borderId="25" xfId="1" applyFont="1" applyFill="1" applyBorder="1" applyAlignment="1" applyProtection="1">
      <alignment horizontal="center" vertical="center"/>
    </xf>
    <xf numFmtId="0" fontId="15" fillId="4" borderId="10" xfId="1" quotePrefix="1" applyFont="1" applyFill="1" applyBorder="1" applyAlignment="1" applyProtection="1">
      <alignment horizontal="center" vertical="center"/>
    </xf>
    <xf numFmtId="0" fontId="4" fillId="3" borderId="18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yageo/RC0603FR-13470KL/13694191?s=N4IgTCBcDaIEoGEAMA2JBmAYnAtARnQBYB2JAaQBkQBdAXyA" TargetMode="External"/><Relationship Id="rId13" Type="http://schemas.openxmlformats.org/officeDocument/2006/relationships/hyperlink" Target="https://www.digikey.com/en/products/detail/amphenol-icc-fci/10118194-0001LF/2785389?s=N4IgTCBcDaIIwAY5wBxwJwBYC0C9wBkAxEAXQF8g" TargetMode="External"/><Relationship Id="rId18" Type="http://schemas.openxmlformats.org/officeDocument/2006/relationships/hyperlink" Target="https://www.digikey.com/en/products/detail/yageo/RC0603FR-0747K5L/727255?s=N4IgTCBcDaIEoGEAMA2JBmAYnAtEg7ACz4DSArADIgC6AvkA" TargetMode="External"/><Relationship Id="rId26" Type="http://schemas.openxmlformats.org/officeDocument/2006/relationships/hyperlink" Target="https://eu.mouser.com/ProductDetail/Silicon-Labs/CP2102N-A02-GQFN24R?qs=%2Fha2pyFadugXX01mIBNMiBjgh18gCPwhnB%252BdEMnmQ9AlMc%2FamKRL1Cym77KNQzaw&amp;utm_source=octopart&amp;utm_medium=aggregator&amp;utm_campaign=634-CP2102NA02QFN24R&amp;utm_content=Silicon%20Laboratories" TargetMode="External"/><Relationship Id="rId3" Type="http://schemas.openxmlformats.org/officeDocument/2006/relationships/hyperlink" Target="https://www.digikey.com/en/products/detail/sunled/XZVG68W-2/4745975?s=N4IgTCBcDaIBoC0BqBxAbADgOoFoIF0BfIA" TargetMode="External"/><Relationship Id="rId21" Type="http://schemas.openxmlformats.org/officeDocument/2006/relationships/hyperlink" Target="https://www.digikey.com/en/products/detail/samsung-electro-mechanics/CL10A226MO7JZNC/7320581?s=N4IgTCBcDaIMIBkCMAGAgmMA2AsgeQHYApALQDk4QBdAXyA" TargetMode="External"/><Relationship Id="rId7" Type="http://schemas.openxmlformats.org/officeDocument/2006/relationships/hyperlink" Target="https://www.digikey.com/en/products/detail/yageo/RC0603FR-074K7L/727212?s=N4IgTCBcDaIEoGEAMA2JBmAYnAtEg7ACwDS%2BAMiALoC%2BQA" TargetMode="External"/><Relationship Id="rId12" Type="http://schemas.openxmlformats.org/officeDocument/2006/relationships/hyperlink" Target="https://www.digikey.com/en/products/detail/onsemi/NCP692MN33T2G/2194205" TargetMode="External"/><Relationship Id="rId17" Type="http://schemas.openxmlformats.org/officeDocument/2006/relationships/hyperlink" Target="https://www.digikey.com/en/products/detail/panasonic-electronic-components/ERJ-3EKF2212V/196218?s=N4IgTCBcDaIKICUBSBaAzHA0gMTGAjGAGogC6AvkA" TargetMode="External"/><Relationship Id="rId25" Type="http://schemas.openxmlformats.org/officeDocument/2006/relationships/hyperlink" Target="https://www.digikey.com/en/products/detail/inolux/INL-3AB30/7604618" TargetMode="External"/><Relationship Id="rId2" Type="http://schemas.openxmlformats.org/officeDocument/2006/relationships/hyperlink" Target="https://www.digikey.com/en/products/detail/samsung-electro-mechanics/CL10A105KA8NNNC/3886760?s=N4IgTCBcDaIMIBkCMAGAgqgrAaTQDgDki4QBdAXyA" TargetMode="External"/><Relationship Id="rId16" Type="http://schemas.openxmlformats.org/officeDocument/2006/relationships/hyperlink" Target="https://www.digikey.com/en/products/detail/stackpole-electronics-inc/RMCF0603JJ1K00/6053783?s=N4IgTCBcDaIEoFkDCAxADANjQZgFK4EYBpNNEAXQF8g" TargetMode="External"/><Relationship Id="rId20" Type="http://schemas.openxmlformats.org/officeDocument/2006/relationships/hyperlink" Target="https://www.digikey.com/en/products/detail/diodes-incorporated/BSS8402DW-7-F/815002?s=N4IgTCBcDaIEIGUEA4AsAGMARA6gWgHY8AxEAXQF8g" TargetMode="External"/><Relationship Id="rId29" Type="http://schemas.openxmlformats.org/officeDocument/2006/relationships/hyperlink" Target="https://www.digikey.com/en/products/detail/tdk-corporation/MMZ0603S601CT000/765038?s=N4IgTCBcDaILJwFoAYBsyDMBldBGAwgCrIkgC6AvkA" TargetMode="External"/><Relationship Id="rId1" Type="http://schemas.openxmlformats.org/officeDocument/2006/relationships/hyperlink" Target="https://www.digikey.com/en/products/detail/samsung-electro-mechanics/CL10B104KB8NNNL/3894274?s=N4IgTCBcDaIMIBkCMAGAQqgLAaTQDgDkiEQBdAXyA" TargetMode="External"/><Relationship Id="rId6" Type="http://schemas.openxmlformats.org/officeDocument/2006/relationships/hyperlink" Target="https://www.digikey.com/en/products/detail/bourns-inc/TC33X-2-103E/612858?s=N4IgTCBcDaICoGEDMSAaBaM6CMAGJAoiALoC%2BQA" TargetMode="External"/><Relationship Id="rId11" Type="http://schemas.openxmlformats.org/officeDocument/2006/relationships/hyperlink" Target="https://www.digikey.com/en/products/detail/stmicroelectronics/LM393ADT/725475" TargetMode="External"/><Relationship Id="rId24" Type="http://schemas.openxmlformats.org/officeDocument/2006/relationships/hyperlink" Target="https://www.digikey.com/en/products/detail/american-opto-plus-led/L314GT/13165175" TargetMode="External"/><Relationship Id="rId32" Type="http://schemas.openxmlformats.org/officeDocument/2006/relationships/printerSettings" Target="../printerSettings/printerSettings1.bin"/><Relationship Id="rId5" Type="http://schemas.openxmlformats.org/officeDocument/2006/relationships/hyperlink" Target="https://www.digikey.com/en/products/detail/te-connectivity-passive-product/CRGH0603J10K/2385379?s=N4IgTCBcDaIMICUDiAJADANjQZgFIEY0BpEAXQF8g" TargetMode="External"/><Relationship Id="rId15" Type="http://schemas.openxmlformats.org/officeDocument/2006/relationships/hyperlink" Target="https://www.digikey.com/en/products/detail/diodes-incorporated/MMBT2222A-7-F/814503" TargetMode="External"/><Relationship Id="rId23" Type="http://schemas.openxmlformats.org/officeDocument/2006/relationships/hyperlink" Target="https://www.digikey.com/en/products/detail/vishay-semiconductor-opto-division/TLHF4900/1681231" TargetMode="External"/><Relationship Id="rId28" Type="http://schemas.openxmlformats.org/officeDocument/2006/relationships/hyperlink" Target="https://www.digikey.com/en/products/detail/onsemi/BSS138LT1G/918376?s=N4IgTCBcDaIEIGUEEYDMAOAMgFWQcRAF0BfIA" TargetMode="External"/><Relationship Id="rId10" Type="http://schemas.openxmlformats.org/officeDocument/2006/relationships/hyperlink" Target="https://www.digikey.com/en/products/detail/omron-electronics-inc-emc-div/B3U-1000P/1534338" TargetMode="External"/><Relationship Id="rId19" Type="http://schemas.openxmlformats.org/officeDocument/2006/relationships/hyperlink" Target="https://www.digikey.com/en/products/detail/yageo/RC0603JR-07100KL/726698?s=N4IgTCBcDaIEoGEAMA2JBmAUnAtEg7AIxJIDSAMiALoC%2BQA" TargetMode="External"/><Relationship Id="rId31" Type="http://schemas.openxmlformats.org/officeDocument/2006/relationships/hyperlink" Target="https://www.digikey.com/en/products/detail/yageo/RT0603BRD0747RL/1072545?s=N4IgTCBcDaIEoBUAMA2JBmAQnAIkg7ACz5wAyIAugL5A" TargetMode="External"/><Relationship Id="rId4" Type="http://schemas.openxmlformats.org/officeDocument/2006/relationships/hyperlink" Target="https://www.digikey.com/en/products/detail/diodes-incorporated/2N7002T-7-F/814963?s=N4IgTCBcDa4HIHYAMSwBUC0CMDEQF0BfIA" TargetMode="External"/><Relationship Id="rId9" Type="http://schemas.openxmlformats.org/officeDocument/2006/relationships/hyperlink" Target="https://www.digikey.com/en/products/detail/yageo/RC0603FR-07560RL/727304?s=N4IgTCBcDaIEoGEAMA2JBmAYnAtEg7AKxpwAyIAugL5A" TargetMode="External"/><Relationship Id="rId14" Type="http://schemas.openxmlformats.org/officeDocument/2006/relationships/hyperlink" Target="https://www.digikey.com/en/products/detail/murata-electronics/GRM188R61E475KE11D/3900465?s=N4IgTCBcDaIOICUCyBGAHGhA2FBRALAOwCsA0riigCIgC6AvkA" TargetMode="External"/><Relationship Id="rId22" Type="http://schemas.openxmlformats.org/officeDocument/2006/relationships/hyperlink" Target="https://www.digikey.com/en/products/detail/sunled/XLMDK65D/13559277" TargetMode="External"/><Relationship Id="rId27" Type="http://schemas.openxmlformats.org/officeDocument/2006/relationships/hyperlink" Target="https://www.digikey.com/en/products/detail/nexperia-usa-inc/BAL74-215/1127177" TargetMode="External"/><Relationship Id="rId30" Type="http://schemas.openxmlformats.org/officeDocument/2006/relationships/hyperlink" Target="https://www.digikey.com/en/products/detail/mallory-sonalert-products-inc/AST0927MW-03TRQ/1156884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9"/>
  <sheetViews>
    <sheetView tabSelected="1" workbookViewId="0">
      <selection activeCell="F19" sqref="F19"/>
    </sheetView>
  </sheetViews>
  <sheetFormatPr defaultColWidth="9" defaultRowHeight="15"/>
  <cols>
    <col min="1" max="1" width="6.7109375" customWidth="1"/>
    <col min="2" max="2" width="13.42578125" customWidth="1"/>
    <col min="3" max="3" width="32.28515625" bestFit="1" customWidth="1"/>
    <col min="4" max="4" width="20.5703125" bestFit="1" customWidth="1"/>
    <col min="5" max="5" width="20.5703125" customWidth="1"/>
    <col min="6" max="6" width="28.42578125" bestFit="1" customWidth="1"/>
    <col min="7" max="7" width="16.28515625" bestFit="1" customWidth="1"/>
    <col min="8" max="8" width="18" bestFit="1" customWidth="1"/>
    <col min="9" max="9" width="6.42578125" bestFit="1" customWidth="1"/>
    <col min="10" max="10" width="22.140625" customWidth="1"/>
    <col min="11" max="11" width="11.42578125" customWidth="1"/>
    <col min="12" max="12" width="14" bestFit="1" customWidth="1"/>
    <col min="13" max="13" width="12.42578125" customWidth="1"/>
    <col min="14" max="14" width="13.42578125" customWidth="1"/>
    <col min="15" max="15" width="20.5703125" customWidth="1"/>
    <col min="16" max="16" width="14" customWidth="1"/>
    <col min="17" max="17" width="35.140625" customWidth="1"/>
  </cols>
  <sheetData>
    <row r="1" spans="1:17" ht="16.5" thickBot="1">
      <c r="A1" s="105" t="s">
        <v>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7"/>
    </row>
    <row r="2" spans="1:17" ht="16.5" thickBot="1">
      <c r="A2" s="1" t="s">
        <v>1</v>
      </c>
      <c r="B2" s="49" t="s">
        <v>2</v>
      </c>
      <c r="C2" s="2" t="s">
        <v>3</v>
      </c>
      <c r="D2" s="1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50" t="s">
        <v>12</v>
      </c>
      <c r="M2" s="2" t="s">
        <v>13</v>
      </c>
      <c r="N2" s="2" t="s">
        <v>14</v>
      </c>
      <c r="O2" s="2" t="s">
        <v>15</v>
      </c>
      <c r="P2" s="51" t="s">
        <v>16</v>
      </c>
      <c r="Q2" s="2" t="s">
        <v>17</v>
      </c>
    </row>
    <row r="3" spans="1:17" ht="15.75" thickBot="1">
      <c r="A3" s="3">
        <v>1</v>
      </c>
      <c r="B3" s="110" t="s">
        <v>18</v>
      </c>
      <c r="C3" s="4" t="s">
        <v>19</v>
      </c>
      <c r="D3" s="76" t="s">
        <v>131</v>
      </c>
      <c r="E3" s="38" t="s">
        <v>20</v>
      </c>
      <c r="F3" s="38" t="s">
        <v>21</v>
      </c>
      <c r="G3" s="58" t="s">
        <v>22</v>
      </c>
      <c r="H3" s="5" t="s">
        <v>23</v>
      </c>
      <c r="I3" s="39" t="s">
        <v>24</v>
      </c>
      <c r="J3" s="58">
        <v>6</v>
      </c>
      <c r="K3" s="58">
        <f t="shared" ref="K3:K37" si="0">J3*5</f>
        <v>30</v>
      </c>
      <c r="L3" s="77" t="s">
        <v>25</v>
      </c>
      <c r="M3" s="73">
        <v>0.1</v>
      </c>
      <c r="N3" s="74">
        <f>M3*J3</f>
        <v>0.60000000000000009</v>
      </c>
      <c r="O3" s="73">
        <v>3.1E-2</v>
      </c>
      <c r="P3" s="74">
        <f t="shared" ref="P3:P35" si="1">O3*K3</f>
        <v>0.92999999999999994</v>
      </c>
      <c r="Q3" s="29"/>
    </row>
    <row r="4" spans="1:17" ht="15.75" thickBot="1">
      <c r="A4" s="3">
        <v>2</v>
      </c>
      <c r="B4" s="111"/>
      <c r="C4" s="40" t="s">
        <v>132</v>
      </c>
      <c r="D4" s="63" t="s">
        <v>133</v>
      </c>
      <c r="E4" s="41" t="s">
        <v>20</v>
      </c>
      <c r="F4" s="43" t="s">
        <v>134</v>
      </c>
      <c r="G4" s="8" t="s">
        <v>22</v>
      </c>
      <c r="H4" s="53" t="s">
        <v>23</v>
      </c>
      <c r="I4" s="54" t="s">
        <v>135</v>
      </c>
      <c r="J4" s="8">
        <v>1</v>
      </c>
      <c r="K4" s="8">
        <f t="shared" si="0"/>
        <v>5</v>
      </c>
      <c r="L4" s="19" t="s">
        <v>25</v>
      </c>
      <c r="M4" s="20">
        <v>0.67</v>
      </c>
      <c r="N4" s="21">
        <f t="shared" ref="N4:N35" si="2">M4*J4</f>
        <v>0.67</v>
      </c>
      <c r="O4" s="20">
        <v>0.67</v>
      </c>
      <c r="P4" s="21">
        <f t="shared" si="1"/>
        <v>3.35</v>
      </c>
      <c r="Q4" s="57"/>
    </row>
    <row r="5" spans="1:17" ht="15" customHeight="1" thickBot="1">
      <c r="A5" s="3">
        <v>3</v>
      </c>
      <c r="B5" s="111"/>
      <c r="C5" s="40" t="s">
        <v>26</v>
      </c>
      <c r="D5" s="63" t="s">
        <v>27</v>
      </c>
      <c r="E5" s="41" t="s">
        <v>20</v>
      </c>
      <c r="F5" s="41" t="s">
        <v>28</v>
      </c>
      <c r="G5" s="8" t="s">
        <v>29</v>
      </c>
      <c r="H5" s="8" t="s">
        <v>23</v>
      </c>
      <c r="I5" s="7" t="s">
        <v>30</v>
      </c>
      <c r="J5" s="8">
        <v>2</v>
      </c>
      <c r="K5" s="8">
        <f t="shared" si="0"/>
        <v>10</v>
      </c>
      <c r="L5" s="19" t="s">
        <v>25</v>
      </c>
      <c r="M5" s="20">
        <v>0.37</v>
      </c>
      <c r="N5" s="21">
        <f t="shared" si="2"/>
        <v>0.74</v>
      </c>
      <c r="O5" s="20">
        <v>0.25800000000000001</v>
      </c>
      <c r="P5" s="21">
        <f t="shared" si="1"/>
        <v>2.58</v>
      </c>
      <c r="Q5" s="30"/>
    </row>
    <row r="6" spans="1:17" ht="15" customHeight="1" thickBot="1">
      <c r="A6" s="3">
        <v>4</v>
      </c>
      <c r="B6" s="112"/>
      <c r="C6" s="9" t="s">
        <v>31</v>
      </c>
      <c r="D6" s="64" t="s">
        <v>32</v>
      </c>
      <c r="E6" s="42" t="s">
        <v>20</v>
      </c>
      <c r="F6" s="42" t="s">
        <v>33</v>
      </c>
      <c r="G6" s="11" t="s">
        <v>22</v>
      </c>
      <c r="H6" s="11" t="s">
        <v>23</v>
      </c>
      <c r="I6" s="42" t="s">
        <v>34</v>
      </c>
      <c r="J6" s="11">
        <v>2</v>
      </c>
      <c r="K6" s="11">
        <f t="shared" si="0"/>
        <v>10</v>
      </c>
      <c r="L6" s="127" t="s">
        <v>25</v>
      </c>
      <c r="M6" s="22">
        <v>0.1</v>
      </c>
      <c r="N6" s="23">
        <f t="shared" si="2"/>
        <v>0.2</v>
      </c>
      <c r="O6" s="22">
        <v>3.5000000000000003E-2</v>
      </c>
      <c r="P6" s="23">
        <f t="shared" si="1"/>
        <v>0.35000000000000003</v>
      </c>
      <c r="Q6" s="31"/>
    </row>
    <row r="7" spans="1:17" ht="16.5" customHeight="1" thickBot="1">
      <c r="A7" s="3">
        <v>5</v>
      </c>
      <c r="B7" s="110" t="s">
        <v>35</v>
      </c>
      <c r="C7" s="70" t="s">
        <v>36</v>
      </c>
      <c r="D7" s="71" t="s">
        <v>151</v>
      </c>
      <c r="E7" s="72" t="s">
        <v>37</v>
      </c>
      <c r="F7" s="72" t="s">
        <v>38</v>
      </c>
      <c r="G7" s="58" t="s">
        <v>39</v>
      </c>
      <c r="H7" s="58" t="s">
        <v>23</v>
      </c>
      <c r="I7" s="58" t="s">
        <v>23</v>
      </c>
      <c r="J7" s="58">
        <v>1</v>
      </c>
      <c r="K7" s="58">
        <f t="shared" si="0"/>
        <v>5</v>
      </c>
      <c r="L7" s="77" t="s">
        <v>25</v>
      </c>
      <c r="M7" s="73">
        <v>0.37</v>
      </c>
      <c r="N7" s="74">
        <f t="shared" si="2"/>
        <v>0.37</v>
      </c>
      <c r="O7" s="73">
        <v>0.37</v>
      </c>
      <c r="P7" s="74">
        <f t="shared" si="1"/>
        <v>1.85</v>
      </c>
      <c r="Q7" s="75"/>
    </row>
    <row r="8" spans="1:17" ht="16.5" customHeight="1" thickBot="1">
      <c r="A8" s="3">
        <v>6</v>
      </c>
      <c r="B8" s="111"/>
      <c r="C8" s="40" t="s">
        <v>145</v>
      </c>
      <c r="D8" s="63" t="s">
        <v>136</v>
      </c>
      <c r="E8" s="41" t="s">
        <v>137</v>
      </c>
      <c r="F8" s="41" t="s">
        <v>138</v>
      </c>
      <c r="G8" s="8" t="s">
        <v>152</v>
      </c>
      <c r="H8" s="8" t="s">
        <v>23</v>
      </c>
      <c r="I8" s="8" t="s">
        <v>23</v>
      </c>
      <c r="J8" s="8">
        <v>1</v>
      </c>
      <c r="K8" s="8">
        <f t="shared" si="0"/>
        <v>5</v>
      </c>
      <c r="L8" s="19" t="s">
        <v>25</v>
      </c>
      <c r="M8" s="20">
        <v>0.39</v>
      </c>
      <c r="N8" s="21">
        <f t="shared" si="2"/>
        <v>0.39</v>
      </c>
      <c r="O8" s="20">
        <v>0.39</v>
      </c>
      <c r="P8" s="21">
        <f t="shared" si="1"/>
        <v>1.9500000000000002</v>
      </c>
      <c r="Q8" s="30"/>
    </row>
    <row r="9" spans="1:17" ht="16.5" customHeight="1" thickBot="1">
      <c r="A9" s="3">
        <v>7</v>
      </c>
      <c r="B9" s="111"/>
      <c r="C9" s="67" t="s">
        <v>153</v>
      </c>
      <c r="D9" s="66" t="s">
        <v>139</v>
      </c>
      <c r="E9" s="54" t="s">
        <v>137</v>
      </c>
      <c r="F9" s="45" t="s">
        <v>140</v>
      </c>
      <c r="G9" s="8" t="s">
        <v>152</v>
      </c>
      <c r="H9" s="53" t="s">
        <v>23</v>
      </c>
      <c r="I9" s="53" t="s">
        <v>23</v>
      </c>
      <c r="J9" s="53">
        <v>1</v>
      </c>
      <c r="K9" s="8">
        <f t="shared" si="0"/>
        <v>5</v>
      </c>
      <c r="L9" s="19" t="s">
        <v>25</v>
      </c>
      <c r="M9" s="20">
        <v>0.52</v>
      </c>
      <c r="N9" s="21">
        <f t="shared" si="2"/>
        <v>0.52</v>
      </c>
      <c r="O9" s="20">
        <v>0.52</v>
      </c>
      <c r="P9" s="21">
        <f t="shared" si="1"/>
        <v>2.6</v>
      </c>
      <c r="Q9" s="30"/>
    </row>
    <row r="10" spans="1:17" ht="16.5" customHeight="1" thickBot="1">
      <c r="A10" s="3">
        <v>8</v>
      </c>
      <c r="B10" s="111"/>
      <c r="C10" s="40" t="s">
        <v>154</v>
      </c>
      <c r="D10" s="63" t="s">
        <v>141</v>
      </c>
      <c r="E10" s="41" t="s">
        <v>137</v>
      </c>
      <c r="F10" s="43" t="s">
        <v>142</v>
      </c>
      <c r="G10" s="8" t="s">
        <v>152</v>
      </c>
      <c r="H10" s="8" t="s">
        <v>23</v>
      </c>
      <c r="I10" s="8" t="s">
        <v>23</v>
      </c>
      <c r="J10" s="8">
        <v>1</v>
      </c>
      <c r="K10" s="8">
        <f t="shared" si="0"/>
        <v>5</v>
      </c>
      <c r="L10" s="19" t="s">
        <v>25</v>
      </c>
      <c r="M10" s="20">
        <v>0.25</v>
      </c>
      <c r="N10" s="21">
        <f t="shared" si="2"/>
        <v>0.25</v>
      </c>
      <c r="O10" s="20">
        <v>0.25</v>
      </c>
      <c r="P10" s="21">
        <f t="shared" si="1"/>
        <v>1.25</v>
      </c>
      <c r="Q10" s="30"/>
    </row>
    <row r="11" spans="1:17" ht="16.5" customHeight="1" thickBot="1">
      <c r="A11" s="3">
        <v>9</v>
      </c>
      <c r="B11" s="112"/>
      <c r="C11" s="48" t="s">
        <v>155</v>
      </c>
      <c r="D11" s="64" t="s">
        <v>143</v>
      </c>
      <c r="E11" s="42" t="s">
        <v>137</v>
      </c>
      <c r="F11" s="42" t="s">
        <v>144</v>
      </c>
      <c r="G11" s="11" t="s">
        <v>152</v>
      </c>
      <c r="H11" s="11" t="s">
        <v>23</v>
      </c>
      <c r="I11" s="11" t="s">
        <v>23</v>
      </c>
      <c r="J11" s="11">
        <v>1</v>
      </c>
      <c r="K11" s="11">
        <f t="shared" si="0"/>
        <v>5</v>
      </c>
      <c r="L11" s="127" t="s">
        <v>25</v>
      </c>
      <c r="M11" s="22">
        <v>0.37</v>
      </c>
      <c r="N11" s="23">
        <f t="shared" si="2"/>
        <v>0.37</v>
      </c>
      <c r="O11" s="22">
        <v>0.37</v>
      </c>
      <c r="P11" s="23">
        <f t="shared" si="1"/>
        <v>1.85</v>
      </c>
      <c r="Q11" s="31"/>
    </row>
    <row r="12" spans="1:17" ht="16.5" customHeight="1" thickBot="1">
      <c r="A12" s="3">
        <v>10</v>
      </c>
      <c r="B12" s="104" t="s">
        <v>170</v>
      </c>
      <c r="C12" s="48" t="s">
        <v>167</v>
      </c>
      <c r="D12" s="64" t="s">
        <v>168</v>
      </c>
      <c r="E12" s="42" t="s">
        <v>48</v>
      </c>
      <c r="F12" s="42" t="s">
        <v>169</v>
      </c>
      <c r="G12" s="115" t="s">
        <v>171</v>
      </c>
      <c r="H12" s="115" t="s">
        <v>23</v>
      </c>
      <c r="I12" s="115" t="s">
        <v>23</v>
      </c>
      <c r="J12" s="115">
        <v>1</v>
      </c>
      <c r="K12" s="115">
        <f t="shared" si="0"/>
        <v>5</v>
      </c>
      <c r="L12" s="128" t="s">
        <v>25</v>
      </c>
      <c r="M12" s="116">
        <v>0.24</v>
      </c>
      <c r="N12" s="23">
        <f t="shared" si="2"/>
        <v>0.24</v>
      </c>
      <c r="O12" s="116">
        <v>0.24</v>
      </c>
      <c r="P12" s="23">
        <f t="shared" si="1"/>
        <v>1.2</v>
      </c>
      <c r="Q12" s="118"/>
    </row>
    <row r="13" spans="1:17" ht="15.75" customHeight="1" thickBot="1">
      <c r="A13" s="3">
        <v>11</v>
      </c>
      <c r="B13" s="110" t="s">
        <v>40</v>
      </c>
      <c r="C13" s="68" t="s">
        <v>41</v>
      </c>
      <c r="D13" s="69" t="s">
        <v>42</v>
      </c>
      <c r="E13" s="38" t="s">
        <v>43</v>
      </c>
      <c r="F13" s="38" t="s">
        <v>44</v>
      </c>
      <c r="G13" s="5" t="s">
        <v>45</v>
      </c>
      <c r="H13" s="5" t="s">
        <v>23</v>
      </c>
      <c r="I13" s="5" t="s">
        <v>23</v>
      </c>
      <c r="J13" s="5">
        <v>1</v>
      </c>
      <c r="K13" s="5">
        <f t="shared" si="0"/>
        <v>5</v>
      </c>
      <c r="L13" s="129" t="s">
        <v>25</v>
      </c>
      <c r="M13" s="17">
        <v>0.44</v>
      </c>
      <c r="N13" s="18">
        <f t="shared" si="2"/>
        <v>0.44</v>
      </c>
      <c r="O13" s="17">
        <v>0.44</v>
      </c>
      <c r="P13" s="18">
        <f t="shared" si="1"/>
        <v>2.2000000000000002</v>
      </c>
      <c r="Q13" s="29"/>
    </row>
    <row r="14" spans="1:17" ht="15" customHeight="1" thickBot="1">
      <c r="A14" s="3">
        <v>12</v>
      </c>
      <c r="B14" s="111"/>
      <c r="C14" s="6" t="s">
        <v>46</v>
      </c>
      <c r="D14" s="63" t="s">
        <v>47</v>
      </c>
      <c r="E14" s="41" t="s">
        <v>48</v>
      </c>
      <c r="F14" s="41" t="s">
        <v>49</v>
      </c>
      <c r="G14" s="8" t="s">
        <v>45</v>
      </c>
      <c r="H14" s="8" t="s">
        <v>23</v>
      </c>
      <c r="I14" s="8" t="s">
        <v>23</v>
      </c>
      <c r="J14" s="8">
        <v>2</v>
      </c>
      <c r="K14" s="8">
        <f t="shared" si="0"/>
        <v>10</v>
      </c>
      <c r="L14" s="19" t="s">
        <v>25</v>
      </c>
      <c r="M14" s="20">
        <v>0.14000000000000001</v>
      </c>
      <c r="N14" s="21">
        <f t="shared" si="2"/>
        <v>0.28000000000000003</v>
      </c>
      <c r="O14" s="20">
        <v>0.13200000000000001</v>
      </c>
      <c r="P14" s="21">
        <f t="shared" si="1"/>
        <v>1.32</v>
      </c>
      <c r="Q14" s="30"/>
    </row>
    <row r="15" spans="1:17" ht="15" customHeight="1" thickBot="1">
      <c r="A15" s="3">
        <v>13</v>
      </c>
      <c r="B15" s="111"/>
      <c r="C15" s="6" t="s">
        <v>147</v>
      </c>
      <c r="D15" s="121" t="s">
        <v>148</v>
      </c>
      <c r="E15" s="41" t="s">
        <v>149</v>
      </c>
      <c r="F15" s="41" t="s">
        <v>150</v>
      </c>
      <c r="G15" s="8" t="s">
        <v>45</v>
      </c>
      <c r="H15" s="8" t="s">
        <v>23</v>
      </c>
      <c r="I15" s="8" t="s">
        <v>23</v>
      </c>
      <c r="J15" s="8">
        <v>1</v>
      </c>
      <c r="K15" s="8">
        <f>J15*5</f>
        <v>5</v>
      </c>
      <c r="L15" s="19" t="s">
        <v>25</v>
      </c>
      <c r="M15" s="20">
        <v>0.55000000000000004</v>
      </c>
      <c r="N15" s="21">
        <f>M15*J15</f>
        <v>0.55000000000000004</v>
      </c>
      <c r="O15" s="20">
        <v>0.55000000000000004</v>
      </c>
      <c r="P15" s="21">
        <f>O15*K15</f>
        <v>2.75</v>
      </c>
      <c r="Q15" s="122"/>
    </row>
    <row r="16" spans="1:17" ht="15" customHeight="1" thickBot="1">
      <c r="A16" s="3">
        <v>14</v>
      </c>
      <c r="B16" s="111"/>
      <c r="C16" s="120" t="s">
        <v>172</v>
      </c>
      <c r="D16" s="119" t="s">
        <v>173</v>
      </c>
      <c r="E16" s="45" t="s">
        <v>48</v>
      </c>
      <c r="F16" s="45" t="s">
        <v>174</v>
      </c>
      <c r="G16" s="115" t="s">
        <v>112</v>
      </c>
      <c r="H16" s="115" t="s">
        <v>23</v>
      </c>
      <c r="I16" s="115" t="s">
        <v>23</v>
      </c>
      <c r="J16" s="115">
        <v>1</v>
      </c>
      <c r="K16" s="115">
        <f>J16*5</f>
        <v>5</v>
      </c>
      <c r="L16" s="128" t="s">
        <v>25</v>
      </c>
      <c r="M16" s="116">
        <v>0.36</v>
      </c>
      <c r="N16" s="117">
        <f>M16*J16</f>
        <v>0.36</v>
      </c>
      <c r="O16" s="116">
        <v>0.36</v>
      </c>
      <c r="P16" s="123">
        <f>O16*K16</f>
        <v>1.7999999999999998</v>
      </c>
      <c r="Q16" s="118"/>
    </row>
    <row r="17" spans="1:17" ht="15" customHeight="1" thickBot="1">
      <c r="A17" s="3">
        <v>15</v>
      </c>
      <c r="B17" s="14" t="s">
        <v>180</v>
      </c>
      <c r="C17" s="124" t="s">
        <v>175</v>
      </c>
      <c r="D17" s="135" t="s">
        <v>176</v>
      </c>
      <c r="E17" s="47" t="s">
        <v>177</v>
      </c>
      <c r="F17" s="47" t="s">
        <v>178</v>
      </c>
      <c r="G17" s="16" t="s">
        <v>179</v>
      </c>
      <c r="H17" s="16" t="s">
        <v>23</v>
      </c>
      <c r="I17" s="16" t="s">
        <v>23</v>
      </c>
      <c r="J17" s="16">
        <v>1</v>
      </c>
      <c r="K17" s="16">
        <f>J17*5</f>
        <v>5</v>
      </c>
      <c r="L17" s="130" t="s">
        <v>25</v>
      </c>
      <c r="M17" s="24">
        <v>0.13</v>
      </c>
      <c r="N17" s="25">
        <f t="shared" ref="N17:N18" si="3">M17*J17</f>
        <v>0.13</v>
      </c>
      <c r="O17" s="24">
        <v>0.13</v>
      </c>
      <c r="P17" s="25">
        <f>O17*K17</f>
        <v>0.65</v>
      </c>
      <c r="Q17" s="125"/>
    </row>
    <row r="18" spans="1:17" ht="26.25" thickBot="1">
      <c r="A18" s="3">
        <v>16</v>
      </c>
      <c r="B18" s="104" t="s">
        <v>184</v>
      </c>
      <c r="C18" s="126" t="s">
        <v>181</v>
      </c>
      <c r="D18" s="135" t="s">
        <v>182</v>
      </c>
      <c r="E18" s="47" t="s">
        <v>58</v>
      </c>
      <c r="F18" s="47" t="s">
        <v>183</v>
      </c>
      <c r="G18" s="115" t="s">
        <v>185</v>
      </c>
      <c r="H18" s="115" t="s">
        <v>186</v>
      </c>
      <c r="I18" s="115" t="s">
        <v>23</v>
      </c>
      <c r="J18" s="115">
        <v>1</v>
      </c>
      <c r="K18" s="115">
        <f>J18*5</f>
        <v>5</v>
      </c>
      <c r="L18" s="128" t="s">
        <v>25</v>
      </c>
      <c r="M18" s="116">
        <v>1.64</v>
      </c>
      <c r="N18" s="117">
        <f t="shared" si="3"/>
        <v>1.64</v>
      </c>
      <c r="O18" s="116">
        <v>1.64</v>
      </c>
      <c r="P18" s="25">
        <f>O18*K18</f>
        <v>8.1999999999999993</v>
      </c>
      <c r="Q18" s="118"/>
    </row>
    <row r="19" spans="1:17" ht="16.5" customHeight="1" thickBot="1">
      <c r="A19" s="3">
        <v>17</v>
      </c>
      <c r="B19" s="110" t="s">
        <v>50</v>
      </c>
      <c r="C19" s="4" t="s">
        <v>51</v>
      </c>
      <c r="D19" s="63" t="s">
        <v>187</v>
      </c>
      <c r="E19" s="39" t="s">
        <v>52</v>
      </c>
      <c r="F19" s="39" t="s">
        <v>53</v>
      </c>
      <c r="G19" s="5" t="s">
        <v>54</v>
      </c>
      <c r="H19" s="5" t="s">
        <v>23</v>
      </c>
      <c r="I19" s="39" t="s">
        <v>55</v>
      </c>
      <c r="J19" s="12">
        <v>6</v>
      </c>
      <c r="K19" s="5">
        <f t="shared" si="0"/>
        <v>30</v>
      </c>
      <c r="L19" s="129" t="s">
        <v>25</v>
      </c>
      <c r="M19" s="17">
        <v>0.1</v>
      </c>
      <c r="N19" s="18">
        <f t="shared" si="2"/>
        <v>0.60000000000000009</v>
      </c>
      <c r="O19" s="17">
        <v>5.8000000000000003E-2</v>
      </c>
      <c r="P19" s="18">
        <f t="shared" si="1"/>
        <v>1.74</v>
      </c>
      <c r="Q19" s="29"/>
    </row>
    <row r="20" spans="1:17" ht="15" customHeight="1" thickBot="1">
      <c r="A20" s="3">
        <v>18</v>
      </c>
      <c r="B20" s="111"/>
      <c r="C20" s="44" t="s">
        <v>56</v>
      </c>
      <c r="D20" s="63" t="s">
        <v>57</v>
      </c>
      <c r="E20" s="7" t="s">
        <v>58</v>
      </c>
      <c r="F20" s="41" t="s">
        <v>59</v>
      </c>
      <c r="G20" s="8" t="s">
        <v>60</v>
      </c>
      <c r="H20" s="8" t="s">
        <v>23</v>
      </c>
      <c r="I20" s="41" t="s">
        <v>55</v>
      </c>
      <c r="J20" s="7">
        <v>1</v>
      </c>
      <c r="K20" s="8">
        <f t="shared" si="0"/>
        <v>5</v>
      </c>
      <c r="L20" s="19" t="s">
        <v>25</v>
      </c>
      <c r="M20" s="20">
        <v>0.26</v>
      </c>
      <c r="N20" s="21">
        <f t="shared" si="2"/>
        <v>0.26</v>
      </c>
      <c r="O20" s="20">
        <v>0.26</v>
      </c>
      <c r="P20" s="21">
        <f t="shared" si="1"/>
        <v>1.3</v>
      </c>
      <c r="Q20" s="30"/>
    </row>
    <row r="21" spans="1:17" ht="15" customHeight="1" thickBot="1">
      <c r="A21" s="3">
        <v>19</v>
      </c>
      <c r="B21" s="111"/>
      <c r="C21" s="44" t="s">
        <v>61</v>
      </c>
      <c r="D21" s="63" t="s">
        <v>62</v>
      </c>
      <c r="E21" s="41" t="s">
        <v>52</v>
      </c>
      <c r="F21" s="41" t="s">
        <v>63</v>
      </c>
      <c r="G21" s="8" t="s">
        <v>64</v>
      </c>
      <c r="H21" s="8" t="s">
        <v>23</v>
      </c>
      <c r="I21" s="41" t="s">
        <v>65</v>
      </c>
      <c r="J21" s="7">
        <v>2</v>
      </c>
      <c r="K21" s="8">
        <f t="shared" si="0"/>
        <v>10</v>
      </c>
      <c r="L21" s="19" t="s">
        <v>25</v>
      </c>
      <c r="M21" s="20">
        <v>0.1</v>
      </c>
      <c r="N21" s="21">
        <f t="shared" si="2"/>
        <v>0.2</v>
      </c>
      <c r="O21" s="20">
        <v>0.1</v>
      </c>
      <c r="P21" s="21">
        <f t="shared" si="1"/>
        <v>1</v>
      </c>
      <c r="Q21" s="30"/>
    </row>
    <row r="22" spans="1:17" ht="15" customHeight="1" thickBot="1">
      <c r="A22" s="3">
        <v>20</v>
      </c>
      <c r="B22" s="111"/>
      <c r="C22" s="6" t="s">
        <v>66</v>
      </c>
      <c r="D22" s="63" t="s">
        <v>67</v>
      </c>
      <c r="E22" s="41" t="s">
        <v>52</v>
      </c>
      <c r="F22" s="41" t="s">
        <v>68</v>
      </c>
      <c r="G22" s="8" t="s">
        <v>64</v>
      </c>
      <c r="H22" s="13" t="s">
        <v>23</v>
      </c>
      <c r="I22" s="41" t="s">
        <v>69</v>
      </c>
      <c r="J22" s="7">
        <v>1</v>
      </c>
      <c r="K22" s="8">
        <f t="shared" si="0"/>
        <v>5</v>
      </c>
      <c r="L22" s="19" t="s">
        <v>25</v>
      </c>
      <c r="M22" s="20">
        <v>0.1</v>
      </c>
      <c r="N22" s="21">
        <f t="shared" si="2"/>
        <v>0.1</v>
      </c>
      <c r="O22" s="20">
        <v>0.1</v>
      </c>
      <c r="P22" s="21">
        <f t="shared" si="1"/>
        <v>0.5</v>
      </c>
      <c r="Q22" s="30"/>
    </row>
    <row r="23" spans="1:17" ht="15" customHeight="1" thickBot="1">
      <c r="A23" s="3">
        <v>21</v>
      </c>
      <c r="B23" s="111"/>
      <c r="C23" s="6" t="s">
        <v>70</v>
      </c>
      <c r="D23" s="63" t="s">
        <v>146</v>
      </c>
      <c r="E23" s="41" t="s">
        <v>52</v>
      </c>
      <c r="F23" s="41" t="s">
        <v>71</v>
      </c>
      <c r="G23" s="8" t="s">
        <v>64</v>
      </c>
      <c r="H23" s="8" t="s">
        <v>23</v>
      </c>
      <c r="I23" s="41" t="s">
        <v>72</v>
      </c>
      <c r="J23" s="7">
        <v>4</v>
      </c>
      <c r="K23" s="8">
        <f t="shared" si="0"/>
        <v>20</v>
      </c>
      <c r="L23" s="19" t="s">
        <v>25</v>
      </c>
      <c r="M23" s="21">
        <v>0.1</v>
      </c>
      <c r="N23" s="21">
        <f t="shared" si="2"/>
        <v>0.4</v>
      </c>
      <c r="O23" s="21">
        <v>2.4E-2</v>
      </c>
      <c r="P23" s="21">
        <f t="shared" si="1"/>
        <v>0.48</v>
      </c>
      <c r="Q23" s="32"/>
    </row>
    <row r="24" spans="1:17" ht="15" customHeight="1" thickBot="1">
      <c r="A24" s="3">
        <v>22</v>
      </c>
      <c r="B24" s="111"/>
      <c r="C24" s="44" t="s">
        <v>73</v>
      </c>
      <c r="D24" s="63" t="s">
        <v>74</v>
      </c>
      <c r="E24" s="41" t="s">
        <v>52</v>
      </c>
      <c r="F24" s="41" t="s">
        <v>75</v>
      </c>
      <c r="G24" s="8" t="s">
        <v>76</v>
      </c>
      <c r="H24" s="8" t="s">
        <v>23</v>
      </c>
      <c r="I24" s="7" t="s">
        <v>77</v>
      </c>
      <c r="J24" s="7">
        <v>1</v>
      </c>
      <c r="K24" s="8">
        <f t="shared" si="0"/>
        <v>5</v>
      </c>
      <c r="L24" s="19" t="s">
        <v>25</v>
      </c>
      <c r="M24" s="21">
        <v>0.1</v>
      </c>
      <c r="N24" s="21">
        <f t="shared" si="2"/>
        <v>0.1</v>
      </c>
      <c r="O24" s="21">
        <v>0.1</v>
      </c>
      <c r="P24" s="21">
        <f t="shared" si="1"/>
        <v>0.5</v>
      </c>
      <c r="Q24" s="32"/>
    </row>
    <row r="25" spans="1:17" ht="15" customHeight="1" thickBot="1">
      <c r="A25" s="3">
        <v>23</v>
      </c>
      <c r="B25" s="111"/>
      <c r="C25" s="44" t="s">
        <v>78</v>
      </c>
      <c r="D25" s="63" t="s">
        <v>79</v>
      </c>
      <c r="E25" s="41" t="s">
        <v>52</v>
      </c>
      <c r="F25" s="41" t="s">
        <v>80</v>
      </c>
      <c r="G25" s="8" t="s">
        <v>81</v>
      </c>
      <c r="H25" s="8" t="s">
        <v>23</v>
      </c>
      <c r="I25" s="7" t="s">
        <v>82</v>
      </c>
      <c r="J25" s="7">
        <v>1</v>
      </c>
      <c r="K25" s="8">
        <f t="shared" si="0"/>
        <v>5</v>
      </c>
      <c r="L25" s="19" t="s">
        <v>25</v>
      </c>
      <c r="M25" s="21">
        <v>0.1</v>
      </c>
      <c r="N25" s="21">
        <f t="shared" si="2"/>
        <v>0.1</v>
      </c>
      <c r="O25" s="21">
        <v>0.1</v>
      </c>
      <c r="P25" s="21">
        <f t="shared" si="1"/>
        <v>0.5</v>
      </c>
      <c r="Q25" s="32"/>
    </row>
    <row r="26" spans="1:17" ht="15" customHeight="1" thickBot="1">
      <c r="A26" s="3">
        <v>24</v>
      </c>
      <c r="B26" s="111"/>
      <c r="C26" s="6" t="s">
        <v>83</v>
      </c>
      <c r="D26" s="63" t="s">
        <v>84</v>
      </c>
      <c r="E26" s="41" t="s">
        <v>52</v>
      </c>
      <c r="F26" s="41" t="s">
        <v>85</v>
      </c>
      <c r="G26" s="8" t="s">
        <v>64</v>
      </c>
      <c r="H26" s="8" t="s">
        <v>23</v>
      </c>
      <c r="I26" s="7" t="s">
        <v>86</v>
      </c>
      <c r="J26" s="7">
        <v>1</v>
      </c>
      <c r="K26" s="8">
        <f t="shared" si="0"/>
        <v>5</v>
      </c>
      <c r="L26" s="19" t="s">
        <v>25</v>
      </c>
      <c r="M26" s="21">
        <v>0.1</v>
      </c>
      <c r="N26" s="21">
        <f t="shared" si="2"/>
        <v>0.1</v>
      </c>
      <c r="O26" s="21">
        <v>0.1</v>
      </c>
      <c r="P26" s="21">
        <f t="shared" si="1"/>
        <v>0.5</v>
      </c>
      <c r="Q26" s="32"/>
    </row>
    <row r="27" spans="1:17" ht="15" customHeight="1" thickBot="1">
      <c r="A27" s="3">
        <v>25</v>
      </c>
      <c r="B27" s="111"/>
      <c r="C27" s="6" t="s">
        <v>189</v>
      </c>
      <c r="D27" s="63" t="s">
        <v>190</v>
      </c>
      <c r="E27" s="41" t="s">
        <v>52</v>
      </c>
      <c r="F27" s="41" t="s">
        <v>191</v>
      </c>
      <c r="G27" s="8" t="s">
        <v>64</v>
      </c>
      <c r="H27" s="8" t="s">
        <v>23</v>
      </c>
      <c r="I27" s="7" t="s">
        <v>188</v>
      </c>
      <c r="J27" s="7">
        <v>1</v>
      </c>
      <c r="K27" s="8">
        <f t="shared" si="0"/>
        <v>5</v>
      </c>
      <c r="L27" s="19" t="s">
        <v>25</v>
      </c>
      <c r="M27" s="21">
        <v>0.34</v>
      </c>
      <c r="N27" s="21">
        <f t="shared" si="2"/>
        <v>0.34</v>
      </c>
      <c r="O27" s="21">
        <v>0.34</v>
      </c>
      <c r="P27" s="21">
        <f t="shared" si="1"/>
        <v>1.7000000000000002</v>
      </c>
      <c r="Q27" s="32"/>
    </row>
    <row r="28" spans="1:17" ht="15.75" thickBot="1">
      <c r="A28" s="3">
        <v>26</v>
      </c>
      <c r="B28" s="112"/>
      <c r="C28" s="9" t="s">
        <v>87</v>
      </c>
      <c r="D28" s="64" t="s">
        <v>88</v>
      </c>
      <c r="E28" s="42" t="s">
        <v>52</v>
      </c>
      <c r="F28" s="42" t="s">
        <v>89</v>
      </c>
      <c r="G28" s="11" t="s">
        <v>64</v>
      </c>
      <c r="H28" s="11" t="s">
        <v>23</v>
      </c>
      <c r="I28" s="10" t="s">
        <v>90</v>
      </c>
      <c r="J28" s="10">
        <v>4</v>
      </c>
      <c r="K28" s="11">
        <f t="shared" si="0"/>
        <v>20</v>
      </c>
      <c r="L28" s="127" t="s">
        <v>25</v>
      </c>
      <c r="M28" s="23">
        <v>0.1</v>
      </c>
      <c r="N28" s="23">
        <f t="shared" si="2"/>
        <v>0.4</v>
      </c>
      <c r="O28" s="23">
        <v>0.1</v>
      </c>
      <c r="P28" s="23">
        <f t="shared" si="1"/>
        <v>2</v>
      </c>
      <c r="Q28" s="33"/>
    </row>
    <row r="29" spans="1:17" ht="16.5" thickBot="1">
      <c r="A29" s="3">
        <v>27</v>
      </c>
      <c r="B29" s="52" t="s">
        <v>91</v>
      </c>
      <c r="C29" s="98" t="s">
        <v>92</v>
      </c>
      <c r="D29" s="99" t="s">
        <v>93</v>
      </c>
      <c r="E29" s="100" t="s">
        <v>58</v>
      </c>
      <c r="F29" s="99" t="s">
        <v>94</v>
      </c>
      <c r="G29" s="101" t="s">
        <v>158</v>
      </c>
      <c r="H29" s="101" t="s">
        <v>164</v>
      </c>
      <c r="I29" s="102" t="s">
        <v>23</v>
      </c>
      <c r="J29" s="102">
        <v>1</v>
      </c>
      <c r="K29" s="102">
        <f t="shared" si="0"/>
        <v>5</v>
      </c>
      <c r="L29" s="131" t="s">
        <v>165</v>
      </c>
      <c r="M29" s="103">
        <v>1.2</v>
      </c>
      <c r="N29" s="103">
        <f t="shared" si="2"/>
        <v>1.2</v>
      </c>
      <c r="O29" s="103">
        <v>1.2</v>
      </c>
      <c r="P29" s="103">
        <f t="shared" si="1"/>
        <v>6</v>
      </c>
      <c r="Q29" s="96" t="s">
        <v>156</v>
      </c>
    </row>
    <row r="30" spans="1:17" ht="16.5" thickBot="1">
      <c r="A30" s="3">
        <v>28</v>
      </c>
      <c r="B30" s="14" t="s">
        <v>95</v>
      </c>
      <c r="C30" s="46" t="s">
        <v>96</v>
      </c>
      <c r="D30" s="65" t="s">
        <v>97</v>
      </c>
      <c r="E30" s="15" t="s">
        <v>58</v>
      </c>
      <c r="F30" s="47" t="s">
        <v>98</v>
      </c>
      <c r="G30" s="16" t="s">
        <v>99</v>
      </c>
      <c r="H30" s="16" t="s">
        <v>23</v>
      </c>
      <c r="I30" s="16" t="s">
        <v>23</v>
      </c>
      <c r="J30" s="16">
        <v>2</v>
      </c>
      <c r="K30" s="16">
        <f t="shared" si="0"/>
        <v>10</v>
      </c>
      <c r="L30" s="130" t="s">
        <v>25</v>
      </c>
      <c r="M30" s="24">
        <v>0.96</v>
      </c>
      <c r="N30" s="25">
        <f t="shared" si="2"/>
        <v>1.92</v>
      </c>
      <c r="O30" s="25">
        <v>0.92700000000000005</v>
      </c>
      <c r="P30" s="25">
        <f t="shared" si="1"/>
        <v>9.27</v>
      </c>
      <c r="Q30" s="34"/>
    </row>
    <row r="31" spans="1:17" ht="15" customHeight="1" thickBot="1">
      <c r="A31" s="3">
        <v>29</v>
      </c>
      <c r="B31" s="110" t="s">
        <v>100</v>
      </c>
      <c r="C31" s="97" t="s">
        <v>163</v>
      </c>
      <c r="D31" s="78" t="s">
        <v>101</v>
      </c>
      <c r="E31" s="79" t="s">
        <v>58</v>
      </c>
      <c r="F31" s="79" t="s">
        <v>162</v>
      </c>
      <c r="G31" s="80" t="s">
        <v>102</v>
      </c>
      <c r="H31" s="80" t="s">
        <v>23</v>
      </c>
      <c r="I31" s="80" t="s">
        <v>23</v>
      </c>
      <c r="J31" s="79">
        <v>1</v>
      </c>
      <c r="K31" s="80">
        <f t="shared" si="0"/>
        <v>5</v>
      </c>
      <c r="L31" s="132" t="s">
        <v>165</v>
      </c>
      <c r="M31" s="81">
        <v>4.8</v>
      </c>
      <c r="N31" s="82">
        <f t="shared" si="2"/>
        <v>4.8</v>
      </c>
      <c r="O31" s="82">
        <v>4.8</v>
      </c>
      <c r="P31" s="82">
        <f t="shared" si="1"/>
        <v>24</v>
      </c>
      <c r="Q31" s="96" t="s">
        <v>156</v>
      </c>
    </row>
    <row r="32" spans="1:17" ht="15" customHeight="1" thickBot="1">
      <c r="A32" s="3">
        <v>30</v>
      </c>
      <c r="B32" s="111"/>
      <c r="C32" s="6" t="s">
        <v>103</v>
      </c>
      <c r="D32" s="63" t="s">
        <v>104</v>
      </c>
      <c r="E32" s="41" t="s">
        <v>105</v>
      </c>
      <c r="F32" s="41" t="s">
        <v>106</v>
      </c>
      <c r="G32" s="8" t="s">
        <v>107</v>
      </c>
      <c r="H32" s="8" t="s">
        <v>23</v>
      </c>
      <c r="I32" s="8" t="s">
        <v>23</v>
      </c>
      <c r="J32" s="7">
        <v>1</v>
      </c>
      <c r="K32" s="8">
        <f t="shared" si="0"/>
        <v>5</v>
      </c>
      <c r="L32" s="19" t="s">
        <v>25</v>
      </c>
      <c r="M32" s="20">
        <v>0.43</v>
      </c>
      <c r="N32" s="21">
        <f t="shared" si="2"/>
        <v>0.43</v>
      </c>
      <c r="O32" s="21">
        <v>0.43</v>
      </c>
      <c r="P32" s="21">
        <f t="shared" si="1"/>
        <v>2.15</v>
      </c>
      <c r="Q32" s="35"/>
    </row>
    <row r="33" spans="1:17" ht="15" customHeight="1" thickBot="1">
      <c r="A33" s="3">
        <v>31</v>
      </c>
      <c r="B33" s="111"/>
      <c r="C33" s="6" t="s">
        <v>108</v>
      </c>
      <c r="D33" s="63" t="s">
        <v>109</v>
      </c>
      <c r="E33" s="41" t="s">
        <v>110</v>
      </c>
      <c r="F33" s="41" t="s">
        <v>111</v>
      </c>
      <c r="G33" s="8" t="s">
        <v>112</v>
      </c>
      <c r="H33" s="8" t="s">
        <v>23</v>
      </c>
      <c r="I33" s="8" t="s">
        <v>23</v>
      </c>
      <c r="J33" s="7">
        <v>1</v>
      </c>
      <c r="K33" s="8">
        <f t="shared" si="0"/>
        <v>5</v>
      </c>
      <c r="L33" s="19" t="s">
        <v>25</v>
      </c>
      <c r="M33" s="20">
        <v>1.1100000000000001</v>
      </c>
      <c r="N33" s="21">
        <f t="shared" si="2"/>
        <v>1.1100000000000001</v>
      </c>
      <c r="O33" s="21">
        <v>1.1100000000000001</v>
      </c>
      <c r="P33" s="21">
        <f t="shared" si="1"/>
        <v>5.5500000000000007</v>
      </c>
      <c r="Q33" s="36"/>
    </row>
    <row r="34" spans="1:17" ht="15" customHeight="1" thickBot="1">
      <c r="A34" s="3">
        <v>32</v>
      </c>
      <c r="B34" s="112"/>
      <c r="C34" s="48" t="s">
        <v>113</v>
      </c>
      <c r="D34" s="64" t="s">
        <v>114</v>
      </c>
      <c r="E34" s="10" t="s">
        <v>166</v>
      </c>
      <c r="F34" s="42" t="s">
        <v>115</v>
      </c>
      <c r="G34" s="11" t="s">
        <v>116</v>
      </c>
      <c r="H34" s="11" t="s">
        <v>23</v>
      </c>
      <c r="I34" s="11" t="s">
        <v>23</v>
      </c>
      <c r="J34" s="10">
        <v>1</v>
      </c>
      <c r="K34" s="11">
        <f t="shared" si="0"/>
        <v>5</v>
      </c>
      <c r="L34" s="127" t="s">
        <v>157</v>
      </c>
      <c r="M34" s="22">
        <v>1.88</v>
      </c>
      <c r="N34" s="23">
        <f t="shared" si="2"/>
        <v>1.88</v>
      </c>
      <c r="O34" s="23">
        <v>1.88</v>
      </c>
      <c r="P34" s="23">
        <f t="shared" si="1"/>
        <v>9.3999999999999986</v>
      </c>
      <c r="Q34" s="37"/>
    </row>
    <row r="35" spans="1:17" ht="15" customHeight="1" thickBot="1">
      <c r="A35" s="3">
        <v>33</v>
      </c>
      <c r="B35" s="113" t="s">
        <v>117</v>
      </c>
      <c r="C35" s="59" t="s">
        <v>118</v>
      </c>
      <c r="D35" s="54" t="s">
        <v>119</v>
      </c>
      <c r="E35" s="60" t="s">
        <v>58</v>
      </c>
      <c r="F35" s="54" t="s">
        <v>120</v>
      </c>
      <c r="G35" s="53" t="s">
        <v>121</v>
      </c>
      <c r="H35" s="53" t="s">
        <v>23</v>
      </c>
      <c r="I35" s="53" t="s">
        <v>23</v>
      </c>
      <c r="J35" s="61">
        <v>1</v>
      </c>
      <c r="K35" s="53">
        <f t="shared" si="0"/>
        <v>5</v>
      </c>
      <c r="L35" s="133" t="s">
        <v>25</v>
      </c>
      <c r="M35" s="55">
        <v>0.45</v>
      </c>
      <c r="N35" s="56">
        <f t="shared" si="2"/>
        <v>0.45</v>
      </c>
      <c r="O35" s="56">
        <v>0.45</v>
      </c>
      <c r="P35" s="56">
        <f t="shared" si="1"/>
        <v>2.25</v>
      </c>
      <c r="Q35" s="62"/>
    </row>
    <row r="36" spans="1:17" ht="16.5" thickBot="1">
      <c r="A36" s="3">
        <v>34</v>
      </c>
      <c r="B36" s="113"/>
      <c r="C36" s="83" t="s">
        <v>122</v>
      </c>
      <c r="D36" s="84" t="s">
        <v>123</v>
      </c>
      <c r="E36" s="84" t="s">
        <v>124</v>
      </c>
      <c r="F36" s="84" t="s">
        <v>124</v>
      </c>
      <c r="G36" s="84" t="s">
        <v>160</v>
      </c>
      <c r="H36" s="84" t="s">
        <v>160</v>
      </c>
      <c r="I36" s="85" t="s">
        <v>23</v>
      </c>
      <c r="J36" s="86">
        <v>1</v>
      </c>
      <c r="K36" s="85">
        <f t="shared" si="0"/>
        <v>5</v>
      </c>
      <c r="L36" s="134" t="s">
        <v>158</v>
      </c>
      <c r="M36" s="95" t="s">
        <v>159</v>
      </c>
      <c r="N36" s="95" t="s">
        <v>160</v>
      </c>
      <c r="O36" s="95" t="s">
        <v>158</v>
      </c>
      <c r="P36" s="95" t="s">
        <v>158</v>
      </c>
      <c r="Q36" s="87" t="s">
        <v>125</v>
      </c>
    </row>
    <row r="37" spans="1:17" ht="16.5" thickBot="1">
      <c r="A37" s="3">
        <v>35</v>
      </c>
      <c r="B37" s="114"/>
      <c r="C37" s="88" t="s">
        <v>126</v>
      </c>
      <c r="D37" s="89" t="s">
        <v>127</v>
      </c>
      <c r="E37" s="90" t="s">
        <v>58</v>
      </c>
      <c r="F37" s="89" t="s">
        <v>128</v>
      </c>
      <c r="G37" s="93" t="s">
        <v>159</v>
      </c>
      <c r="H37" s="93" t="s">
        <v>161</v>
      </c>
      <c r="I37" s="91" t="s">
        <v>23</v>
      </c>
      <c r="J37" s="90">
        <v>5</v>
      </c>
      <c r="K37" s="91">
        <f t="shared" si="0"/>
        <v>25</v>
      </c>
      <c r="L37" s="93" t="s">
        <v>158</v>
      </c>
      <c r="M37" s="94" t="s">
        <v>158</v>
      </c>
      <c r="N37" s="94" t="s">
        <v>159</v>
      </c>
      <c r="O37" s="94" t="s">
        <v>159</v>
      </c>
      <c r="P37" s="94" t="s">
        <v>158</v>
      </c>
      <c r="Q37" s="92" t="s">
        <v>125</v>
      </c>
    </row>
    <row r="38" spans="1:17" ht="19.5" thickBot="1">
      <c r="J38" s="108" t="s">
        <v>129</v>
      </c>
      <c r="K38" s="108"/>
      <c r="L38" s="108"/>
      <c r="M38" s="108"/>
      <c r="N38" s="26">
        <f>SUM(N3:N37)</f>
        <v>22.139999999999997</v>
      </c>
      <c r="O38" s="27"/>
      <c r="P38" s="26">
        <f>SUM(P3:P37)</f>
        <v>103.66999999999999</v>
      </c>
    </row>
    <row r="39" spans="1:17" ht="18.75">
      <c r="J39" s="109" t="s">
        <v>130</v>
      </c>
      <c r="K39" s="109"/>
      <c r="L39" s="109"/>
      <c r="M39" s="109"/>
      <c r="N39" s="28">
        <f>SUM(N3:N37)</f>
        <v>22.139999999999997</v>
      </c>
      <c r="O39" s="27"/>
      <c r="P39" s="28">
        <f>P38/5</f>
        <v>20.733999999999998</v>
      </c>
    </row>
  </sheetData>
  <mergeCells count="9">
    <mergeCell ref="A1:Q1"/>
    <mergeCell ref="J38:M38"/>
    <mergeCell ref="J39:M39"/>
    <mergeCell ref="B3:B6"/>
    <mergeCell ref="B35:B37"/>
    <mergeCell ref="B31:B34"/>
    <mergeCell ref="B19:B28"/>
    <mergeCell ref="B7:B11"/>
    <mergeCell ref="B13:B16"/>
  </mergeCells>
  <conditionalFormatting sqref="N36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{5531D9CC-373E-4430-9B56-53C028C0ED86}</x14:id>
        </ext>
      </extLst>
    </cfRule>
  </conditionalFormatting>
  <conditionalFormatting sqref="P36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{E13C99BD-6E4C-45E0-A140-10D1CF3D8422}</x14:id>
        </ext>
      </extLst>
    </cfRule>
  </conditionalFormatting>
  <conditionalFormatting sqref="N39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{01ED0170-F35D-4B94-844C-071310192F3A}</x14:id>
        </ext>
      </extLst>
    </cfRule>
  </conditionalFormatting>
  <conditionalFormatting sqref="P39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{968ED1B8-C4B8-4B42-B73F-D2978F9F5DD4}</x14:id>
        </ext>
      </extLst>
    </cfRule>
  </conditionalFormatting>
  <conditionalFormatting sqref="N19:N35 N37 N3:N14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{B5984C29-9DC6-44EE-A3E7-246EC6BEA848}</x14:id>
        </ext>
      </extLst>
    </cfRule>
  </conditionalFormatting>
  <conditionalFormatting sqref="P19:P35 P37 P3:P14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{9B316B94-E7D6-438B-BD62-C23C9F14363C}</x14:id>
        </ext>
      </extLst>
    </cfRule>
  </conditionalFormatting>
  <conditionalFormatting sqref="Q23:Q29 Q31">
    <cfRule type="dataBar" priority="3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{282CC97A-558B-4870-917C-CD43F2B170F2}</x14:id>
        </ext>
      </extLst>
    </cfRule>
  </conditionalFormatting>
  <conditionalFormatting sqref="K15:K18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5:N18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{F049E527-33E3-4BA8-8DF4-E7748DDD465C}</x14:id>
        </ext>
      </extLst>
    </cfRule>
  </conditionalFormatting>
  <conditionalFormatting sqref="P15:P18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{96B8D3DE-C3C1-4D61-8DF6-9B58C23DAE01}</x14:id>
        </ext>
      </extLst>
    </cfRule>
  </conditionalFormatting>
  <conditionalFormatting sqref="K3:K14 K19:K37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:J3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L3" r:id="rId1" xr:uid="{00000000-0004-0000-0000-000000000000}"/>
    <hyperlink ref="L6" r:id="rId2" xr:uid="{00000000-0004-0000-0000-000001000000}"/>
    <hyperlink ref="L7" r:id="rId3" xr:uid="{00000000-0004-0000-0000-000002000000}"/>
    <hyperlink ref="L13" r:id="rId4" xr:uid="{00000000-0004-0000-0000-000003000000}"/>
    <hyperlink ref="L19" r:id="rId5" xr:uid="{00000000-0004-0000-0000-000004000000}"/>
    <hyperlink ref="L20" r:id="rId6" xr:uid="{00000000-0004-0000-0000-000005000000}"/>
    <hyperlink ref="L21" r:id="rId7" xr:uid="{00000000-0004-0000-0000-000006000000}"/>
    <hyperlink ref="L22" r:id="rId8" xr:uid="{00000000-0004-0000-0000-000007000000}"/>
    <hyperlink ref="L23" r:id="rId9" xr:uid="{00000000-0004-0000-0000-000008000000}"/>
    <hyperlink ref="L30" r:id="rId10" xr:uid="{00000000-0004-0000-0000-000009000000}"/>
    <hyperlink ref="L32" r:id="rId11" xr:uid="{00000000-0004-0000-0000-00000A000000}"/>
    <hyperlink ref="L33" r:id="rId12" xr:uid="{00000000-0004-0000-0000-00000B000000}"/>
    <hyperlink ref="L35" r:id="rId13" xr:uid="{00000000-0004-0000-0000-00000C000000}"/>
    <hyperlink ref="L5" r:id="rId14" xr:uid="{00000000-0004-0000-0000-00000D000000}"/>
    <hyperlink ref="L14" r:id="rId15" xr:uid="{00000000-0004-0000-0000-00000E000000}"/>
    <hyperlink ref="L24" r:id="rId16" xr:uid="{00000000-0004-0000-0000-00000F000000}"/>
    <hyperlink ref="L25" r:id="rId17" xr:uid="{00000000-0004-0000-0000-000010000000}"/>
    <hyperlink ref="L26" r:id="rId18" xr:uid="{00000000-0004-0000-0000-000011000000}"/>
    <hyperlink ref="L28" r:id="rId19" xr:uid="{00000000-0004-0000-0000-000013000000}"/>
    <hyperlink ref="L15" r:id="rId20" xr:uid="{00000000-0004-0000-0000-000014000000}"/>
    <hyperlink ref="L4" r:id="rId21" xr:uid="{00000000-0004-0000-0000-000015000000}"/>
    <hyperlink ref="L8" r:id="rId22" xr:uid="{00000000-0004-0000-0000-000016000000}"/>
    <hyperlink ref="L9" r:id="rId23" xr:uid="{00000000-0004-0000-0000-000017000000}"/>
    <hyperlink ref="L10" r:id="rId24" xr:uid="{00000000-0004-0000-0000-000018000000}"/>
    <hyperlink ref="L11" r:id="rId25" xr:uid="{00000000-0004-0000-0000-000019000000}"/>
    <hyperlink ref="L34" r:id="rId26" xr:uid="{00000000-0004-0000-0000-00001A000000}"/>
    <hyperlink ref="L12" r:id="rId27" xr:uid="{CC9B1E4C-F0EF-4F72-B8DB-13E38C69258C}"/>
    <hyperlink ref="L16" r:id="rId28" xr:uid="{CACD4B41-08E1-4117-A623-33F803D45C5D}"/>
    <hyperlink ref="L17" r:id="rId29" xr:uid="{8F0CAAC7-2C5D-4ED1-977D-A74DD4ACD009}"/>
    <hyperlink ref="L18" r:id="rId30" xr:uid="{D4FBE445-7EB7-415F-ACDE-04810975BAF9}"/>
    <hyperlink ref="L27" r:id="rId31" xr:uid="{381A0AC1-89B6-4403-8880-0834EE0E7034}"/>
  </hyperlinks>
  <pageMargins left="0.7" right="0.7" top="0.75" bottom="0.75" header="0.3" footer="0.3"/>
  <pageSetup orientation="portrait" r:id="rId3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31D9CC-373E-4430-9B56-53C028C0ED8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N36</xm:sqref>
        </x14:conditionalFormatting>
        <x14:conditionalFormatting xmlns:xm="http://schemas.microsoft.com/office/excel/2006/main">
          <x14:cfRule type="dataBar" id="{E13C99BD-6E4C-45E0-A140-10D1CF3D842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P36</xm:sqref>
        </x14:conditionalFormatting>
        <x14:conditionalFormatting xmlns:xm="http://schemas.microsoft.com/office/excel/2006/main">
          <x14:cfRule type="dataBar" id="{01ED0170-F35D-4B94-844C-071310192F3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N39</xm:sqref>
        </x14:conditionalFormatting>
        <x14:conditionalFormatting xmlns:xm="http://schemas.microsoft.com/office/excel/2006/main">
          <x14:cfRule type="dataBar" id="{968ED1B8-C4B8-4B42-B73F-D2978F9F5DD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P39</xm:sqref>
        </x14:conditionalFormatting>
        <x14:conditionalFormatting xmlns:xm="http://schemas.microsoft.com/office/excel/2006/main">
          <x14:cfRule type="dataBar" id="{B5984C29-9DC6-44EE-A3E7-246EC6BEA84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N19:N35 N37 N3:N14</xm:sqref>
        </x14:conditionalFormatting>
        <x14:conditionalFormatting xmlns:xm="http://schemas.microsoft.com/office/excel/2006/main">
          <x14:cfRule type="dataBar" id="{9B316B94-E7D6-438B-BD62-C23C9F1436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P19:P35 P37 P3:P14</xm:sqref>
        </x14:conditionalFormatting>
        <x14:conditionalFormatting xmlns:xm="http://schemas.microsoft.com/office/excel/2006/main">
          <x14:cfRule type="dataBar" id="{282CC97A-558B-4870-917C-CD43F2B170F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Q23:Q29 Q31</xm:sqref>
        </x14:conditionalFormatting>
        <x14:conditionalFormatting xmlns:xm="http://schemas.microsoft.com/office/excel/2006/main">
          <x14:cfRule type="dataBar" id="{F049E527-33E3-4BA8-8DF4-E7748DDD465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N15:N18</xm:sqref>
        </x14:conditionalFormatting>
        <x14:conditionalFormatting xmlns:xm="http://schemas.microsoft.com/office/excel/2006/main">
          <x14:cfRule type="dataBar" id="{96B8D3DE-C3C1-4D61-8DF6-9B58C23DAE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P15:P18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HP</cp:lastModifiedBy>
  <dcterms:created xsi:type="dcterms:W3CDTF">2021-03-12T10:24:00Z</dcterms:created>
  <dcterms:modified xsi:type="dcterms:W3CDTF">2022-03-08T11:43:31Z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7CF4C7291B1144E999C371CA94B01FC7</vt:lpwstr>
  </property>
  <property fmtid="{D5CDD505-2E9C-101B-9397-08002B2CF9AE}" pid="3" name="KSOProductBuildVer">
    <vt:lpwstr>1033-11.2.0.10265</vt:lpwstr>
  </property>
</Properties>
</file>