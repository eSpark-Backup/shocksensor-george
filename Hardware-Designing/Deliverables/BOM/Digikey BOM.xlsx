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<sst xmlns="http://schemas.openxmlformats.org/spreadsheetml/2006/main" count="250" uniqueCount="149">
  <si>
    <t>Bill of Material (BOM) for  George (Rack Monitor)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</si>
  <si>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</si>
  <si>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</si>
  <si>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</si>
  <si>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</si>
  <si>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</si>
  <si>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</si>
  <si>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</si>
  <si>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</si>
  <si>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</si>
  <si>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</si>
  <si>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</si>
  <si>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</si>
  <si>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Cost(1)</t>
  </si>
  <si>
    <t>Total Cost(1)</t>
  </si>
  <si>
    <t>Unit Cost (5 Boards)</t>
  </si>
  <si>
    <t>Total Cost (5)</t>
  </si>
  <si>
    <t>Remarks</t>
  </si>
  <si>
    <t>Capacitors</t>
  </si>
  <si>
    <t xml:space="preserve">CAP CER 0.1UF 50V X7R 0603
</t>
  </si>
  <si>
    <t>C1, C2, C3, C4, C11, C13</t>
  </si>
  <si>
    <t>CAP-0603</t>
  </si>
  <si>
    <t>CL10B104KB8NNNL</t>
  </si>
  <si>
    <t xml:space="preserve">Samsung 
</t>
  </si>
  <si>
    <t>-</t>
  </si>
  <si>
    <t>0.1uF</t>
  </si>
  <si>
    <t>Digikey</t>
  </si>
  <si>
    <t>CAP CER 4.7UF 25V X5R 0603</t>
  </si>
  <si>
    <t>C10, C12</t>
  </si>
  <si>
    <t>GRM188R61E475KE11D</t>
  </si>
  <si>
    <t>Murata</t>
  </si>
  <si>
    <t>4.7uF</t>
  </si>
  <si>
    <t xml:space="preserve">CAP CER 1UF 25V X5R 0603
</t>
  </si>
  <si>
    <t>C5, C6</t>
  </si>
  <si>
    <t>CL10A105KA8NNNC</t>
  </si>
  <si>
    <t>1uF</t>
  </si>
  <si>
    <t>LED</t>
  </si>
  <si>
    <t>LED GREEN CLEAR CHIP SMD</t>
  </si>
  <si>
    <t>D1, D2, D3, D4</t>
  </si>
  <si>
    <t>LED 0402</t>
  </si>
  <si>
    <t>XZVG68W-2</t>
  </si>
  <si>
    <t>SunLED</t>
  </si>
  <si>
    <t>Mosfet</t>
  </si>
  <si>
    <t>MOSFET N-Channel 60V 0.115A SOT523</t>
  </si>
  <si>
    <t>Q1</t>
  </si>
  <si>
    <t>SOT-523</t>
  </si>
  <si>
    <t>2N7002T-7-F</t>
  </si>
  <si>
    <t xml:space="preserve">Diodes 
</t>
  </si>
  <si>
    <t xml:space="preserve">TRANS NPN 40V 0.6A SMD SOT23-3
</t>
  </si>
  <si>
    <t>Q2, Q3</t>
  </si>
  <si>
    <t>sot-23</t>
  </si>
  <si>
    <t>MMBT2222A-7-F</t>
  </si>
  <si>
    <t xml:space="preserve">MOSFET N/P-CH 60V/50V SC70-6
</t>
  </si>
  <si>
    <t>Q4</t>
  </si>
  <si>
    <t>SOT-363</t>
  </si>
  <si>
    <t>BSS8402DW-7-F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</si>
  <si>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</si>
  <si>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</si>
  <si>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</si>
  <si>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</si>
  <si>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</si>
  <si>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</si>
  <si>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</si>
  <si>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</si>
  <si>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</si>
  <si>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</si>
  <si>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</si>
  <si>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</si>
  <si>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</si>
  <si>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R9, R26</t>
  </si>
  <si>
    <t>RC0603FR-074K7L</t>
  </si>
  <si>
    <t>YAGEO</t>
  </si>
  <si>
    <t>4.7K</t>
  </si>
  <si>
    <t xml:space="preserve">RES 470K OHM 1% 1/10W 0603
</t>
  </si>
  <si>
    <t>R10</t>
  </si>
  <si>
    <t>RC0603FR-13470KL</t>
  </si>
  <si>
    <t>470K</t>
  </si>
  <si>
    <t xml:space="preserve">RES SMD 560 OHM 1% 1/10W 0603
</t>
  </si>
  <si>
    <t>R12, R13, R14</t>
  </si>
  <si>
    <t>RC0603FR-07560RL</t>
  </si>
  <si>
    <t>560R</t>
  </si>
  <si>
    <t>RES 1K OHM 5% 1/10W 0603</t>
  </si>
  <si>
    <t>R18</t>
  </si>
  <si>
    <t>RMCF0603JJ1K00</t>
  </si>
  <si>
    <t xml:space="preserve">Stackpole </t>
  </si>
  <si>
    <t>1K</t>
  </si>
  <si>
    <t>RES SMD 22.1K OHM 1% 1/10W 0603</t>
  </si>
  <si>
    <t>R19</t>
  </si>
  <si>
    <t>ERJ-3EKF2212V</t>
  </si>
  <si>
    <t xml:space="preserve">Panasonic </t>
  </si>
  <si>
    <t>22.1K</t>
  </si>
  <si>
    <t xml:space="preserve">RES 47.5K OHM 1% 1/10W 0603
</t>
  </si>
  <si>
    <t>R20</t>
  </si>
  <si>
    <t>RC0603FR-0747K5L</t>
  </si>
  <si>
    <t>45.K</t>
  </si>
  <si>
    <t>RES SMD 0 OHM JUMPER 1/10W 0603</t>
  </si>
  <si>
    <t>R21</t>
  </si>
  <si>
    <t>RC0603JR-070RP</t>
  </si>
  <si>
    <t>0R</t>
  </si>
  <si>
    <t xml:space="preserve">RES 100K OHM 5% 1/10W 0603
</t>
  </si>
  <si>
    <t>R22, R23, R24, R25</t>
  </si>
  <si>
    <t>RC0603JR-07100KL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</si>
  <si>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</si>
  <si>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</si>
  <si>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</si>
  <si>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</si>
  <si>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</si>
  <si>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</si>
  <si>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</si>
  <si>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</si>
  <si>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</si>
  <si>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</si>
  <si>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IC</t>
  </si>
  <si>
    <t>RX TXRX MOD WIFI TRACE ANT SMD</t>
  </si>
  <si>
    <t>U1</t>
  </si>
  <si>
    <t>ESP32-WROOM-32D (8MB)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</si>
  <si>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</si>
  <si>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</si>
  <si>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</si>
  <si>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</si>
  <si>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</si>
  <si>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</si>
  <si>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 xml:space="preserve">IC REG LINEAR 3.3V 1A 6DFN
</t>
  </si>
  <si>
    <t>U4</t>
  </si>
  <si>
    <t>6-DFN (3x3)</t>
  </si>
  <si>
    <t>NCP692MN33T2G</t>
  </si>
  <si>
    <t>onsemi</t>
  </si>
  <si>
    <t>IC USB TO UART BRIDGE QFN24</t>
  </si>
  <si>
    <t>U5</t>
  </si>
  <si>
    <t>CP2102N-A02-GQFN24R</t>
  </si>
  <si>
    <t xml:space="preserve">Silicon Labs
</t>
  </si>
  <si>
    <t>Connector</t>
  </si>
  <si>
    <t>CONN RCPT USB2.0 MICRO B SMD R/A</t>
  </si>
  <si>
    <t>J1</t>
  </si>
  <si>
    <t>10118194-0001LF</t>
  </si>
  <si>
    <t xml:space="preserve">Amphenol </t>
  </si>
  <si>
    <t xml:space="preserve">CONN HEADER VERT 2POS 2.5MM
</t>
  </si>
  <si>
    <t>J2</t>
  </si>
  <si>
    <t>B2B-XH-A(LF)(SN)</t>
  </si>
  <si>
    <t xml:space="preserve">JST Sales America
</t>
  </si>
  <si>
    <t>Solder Bridge ON</t>
  </si>
  <si>
    <t>SB1</t>
  </si>
  <si>
    <t>Solder Bridge</t>
  </si>
  <si>
    <t>Do Not Mount</t>
  </si>
  <si>
    <t>Test Point ON</t>
  </si>
  <si>
    <t>P1, P2, P3, P4, P5</t>
  </si>
  <si>
    <t>TEST POINT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</si>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</sst>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6">
    <numFmt numFmtId="176" formatCode="&quot;$&quot;#,##0.00000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  <numFmt numFmtId="179" formatCode="_-[$$-409]* #,##0.00_ ;_-[$$-409]* \-#,##0.00\ ;_-[$$-409]* &quot;-&quot;??_ ;_-@_ "/>
  </numFmts>
  <fonts count="31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u/>
      <sz val="10"/>
      <color theme="10"/>
      <name val="Calibri"/>
      <charset val="134"/>
    </font>
    <font>
      <sz val="14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0"/>
      <color theme="10"/>
      <name val="Arial"/>
      <charset val="134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3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2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5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31" applyNumberFormat="0" applyAlignment="0" applyProtection="0">
      <alignment vertical="center"/>
    </xf>
    <xf numFmtId="0" fontId="18" fillId="0" borderId="32" applyNumberFormat="0" applyFill="0" applyAlignment="0" applyProtection="0">
      <alignment vertical="center"/>
    </xf>
    <xf numFmtId="0" fontId="0" fillId="14" borderId="33" applyNumberFormat="0" applyFont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2" applyNumberFormat="0" applyFill="0" applyAlignment="0" applyProtection="0">
      <alignment vertical="center"/>
    </xf>
    <xf numFmtId="0" fontId="22" fillId="0" borderId="3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4" fillId="20" borderId="36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6" fillId="24" borderId="0" applyNumberFormat="0" applyBorder="0" applyAlignment="0" applyProtection="0"/>
    <xf numFmtId="0" fontId="28" fillId="26" borderId="37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29" fillId="26" borderId="36" applyNumberFormat="0" applyAlignment="0" applyProtection="0">
      <alignment vertical="center"/>
    </xf>
    <xf numFmtId="0" fontId="23" fillId="0" borderId="35" applyNumberFormat="0" applyFill="0" applyAlignment="0" applyProtection="0">
      <alignment vertical="center"/>
    </xf>
    <xf numFmtId="0" fontId="30" fillId="0" borderId="38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16" xfId="0" applyFont="1" applyFill="1" applyBorder="1" applyAlignment="1">
      <alignment vertical="center"/>
    </xf>
    <xf numFmtId="0" fontId="4" fillId="0" borderId="17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vertical="center" wrapText="1"/>
    </xf>
    <xf numFmtId="0" fontId="5" fillId="3" borderId="10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0" borderId="19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vertical="center" wrapText="1"/>
    </xf>
    <xf numFmtId="0" fontId="4" fillId="0" borderId="21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12" xfId="0" applyFont="1" applyFill="1" applyBorder="1" applyAlignment="1">
      <alignment vertical="center" wrapText="1"/>
    </xf>
    <xf numFmtId="0" fontId="1" fillId="2" borderId="22" xfId="0" applyFont="1" applyFill="1" applyBorder="1" applyAlignment="1">
      <alignment horizontal="center" vertical="center"/>
    </xf>
    <xf numFmtId="0" fontId="7" fillId="3" borderId="7" xfId="7" applyFont="1" applyFill="1" applyBorder="1" applyAlignment="1" applyProtection="1">
      <alignment horizontal="center" vertical="center"/>
    </xf>
    <xf numFmtId="176" fontId="5" fillId="3" borderId="7" xfId="0" applyNumberFormat="1" applyFont="1" applyFill="1" applyBorder="1" applyAlignment="1">
      <alignment horizontal="center" vertical="center"/>
    </xf>
    <xf numFmtId="176" fontId="4" fillId="3" borderId="7" xfId="0" applyNumberFormat="1" applyFont="1" applyFill="1" applyBorder="1" applyAlignment="1">
      <alignment horizontal="center" vertical="center"/>
    </xf>
    <xf numFmtId="0" fontId="7" fillId="3" borderId="10" xfId="7" applyFont="1" applyFill="1" applyBorder="1" applyAlignment="1" applyProtection="1">
      <alignment horizontal="center" vertical="center"/>
    </xf>
    <xf numFmtId="176" fontId="5" fillId="3" borderId="10" xfId="0" applyNumberFormat="1" applyFont="1" applyFill="1" applyBorder="1" applyAlignment="1">
      <alignment horizontal="center" vertical="center"/>
    </xf>
    <xf numFmtId="176" fontId="4" fillId="3" borderId="10" xfId="0" applyNumberFormat="1" applyFont="1" applyFill="1" applyBorder="1" applyAlignment="1">
      <alignment horizontal="center" vertical="center"/>
    </xf>
    <xf numFmtId="0" fontId="8" fillId="3" borderId="13" xfId="7" applyFont="1" applyFill="1" applyBorder="1" applyAlignment="1" applyProtection="1">
      <alignment horizontal="center" vertical="center"/>
    </xf>
    <xf numFmtId="176" fontId="5" fillId="3" borderId="13" xfId="0" applyNumberFormat="1" applyFont="1" applyFill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0" fontId="8" fillId="3" borderId="15" xfId="7" applyFont="1" applyFill="1" applyBorder="1" applyAlignment="1" applyProtection="1">
      <alignment horizontal="center" vertical="center"/>
    </xf>
    <xf numFmtId="176" fontId="5" fillId="3" borderId="15" xfId="0" applyNumberFormat="1" applyFont="1" applyFill="1" applyBorder="1" applyAlignment="1">
      <alignment horizontal="center" vertical="center"/>
    </xf>
    <xf numFmtId="176" fontId="4" fillId="3" borderId="15" xfId="0" applyNumberFormat="1" applyFont="1" applyFill="1" applyBorder="1" applyAlignment="1">
      <alignment horizontal="center" vertical="center"/>
    </xf>
    <xf numFmtId="176" fontId="4" fillId="3" borderId="19" xfId="0" applyNumberFormat="1" applyFont="1" applyFill="1" applyBorder="1" applyAlignment="1">
      <alignment horizontal="center" vertical="center"/>
    </xf>
    <xf numFmtId="0" fontId="8" fillId="3" borderId="7" xfId="7" applyFont="1" applyFill="1" applyBorder="1" applyAlignment="1" applyProtection="1">
      <alignment horizontal="center" vertical="center"/>
    </xf>
    <xf numFmtId="0" fontId="8" fillId="3" borderId="10" xfId="7" applyFont="1" applyFill="1" applyBorder="1" applyAlignment="1" applyProtection="1">
      <alignment horizontal="center" vertical="center"/>
    </xf>
    <xf numFmtId="0" fontId="8" fillId="3" borderId="17" xfId="7" applyFont="1" applyFill="1" applyBorder="1" applyAlignment="1" applyProtection="1">
      <alignment horizontal="center" vertical="center"/>
    </xf>
    <xf numFmtId="176" fontId="5" fillId="3" borderId="19" xfId="0" applyNumberFormat="1" applyFont="1" applyFill="1" applyBorder="1" applyAlignment="1">
      <alignment horizontal="center" vertical="center"/>
    </xf>
    <xf numFmtId="176" fontId="4" fillId="3" borderId="17" xfId="0" applyNumberFormat="1" applyFont="1" applyFill="1" applyBorder="1" applyAlignment="1">
      <alignment horizontal="center" vertical="center"/>
    </xf>
    <xf numFmtId="0" fontId="8" fillId="3" borderId="19" xfId="7" applyFont="1" applyFill="1" applyBorder="1" applyAlignment="1" applyProtection="1">
      <alignment horizontal="center" vertical="center"/>
    </xf>
    <xf numFmtId="0" fontId="8" fillId="3" borderId="21" xfId="7" applyFont="1" applyFill="1" applyBorder="1" applyAlignment="1" applyProtection="1">
      <alignment horizontal="center" vertical="center"/>
    </xf>
    <xf numFmtId="176" fontId="5" fillId="3" borderId="21" xfId="0" applyNumberFormat="1" applyFont="1" applyFill="1" applyBorder="1" applyAlignment="1">
      <alignment horizontal="center" vertical="center"/>
    </xf>
    <xf numFmtId="176" fontId="4" fillId="3" borderId="21" xfId="0" applyNumberFormat="1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9" fillId="3" borderId="23" xfId="0" applyFont="1" applyFill="1" applyBorder="1" applyAlignment="1">
      <alignment horizontal="center"/>
    </xf>
    <xf numFmtId="179" fontId="9" fillId="3" borderId="0" xfId="0" applyNumberFormat="1" applyFont="1" applyFill="1" applyAlignment="1"/>
    <xf numFmtId="179" fontId="9" fillId="3" borderId="0" xfId="0" applyNumberFormat="1" applyFont="1" applyFill="1" applyBorder="1" applyAlignment="1"/>
    <xf numFmtId="0" fontId="9" fillId="3" borderId="2" xfId="0" applyFont="1" applyFill="1" applyBorder="1" applyAlignment="1">
      <alignment horizontal="center"/>
    </xf>
    <xf numFmtId="179" fontId="9" fillId="3" borderId="2" xfId="0" applyNumberFormat="1" applyFont="1" applyFill="1" applyBorder="1" applyAlignment="1">
      <alignment horizontal="center"/>
    </xf>
    <xf numFmtId="176" fontId="5" fillId="3" borderId="24" xfId="0" applyNumberFormat="1" applyFont="1" applyFill="1" applyBorder="1" applyAlignment="1">
      <alignment horizontal="left" vertical="center"/>
    </xf>
    <xf numFmtId="176" fontId="5" fillId="3" borderId="25" xfId="0" applyNumberFormat="1" applyFont="1" applyFill="1" applyBorder="1" applyAlignment="1">
      <alignment horizontal="left" vertical="center"/>
    </xf>
    <xf numFmtId="176" fontId="5" fillId="3" borderId="26" xfId="0" applyNumberFormat="1" applyFont="1" applyFill="1" applyBorder="1" applyAlignment="1">
      <alignment horizontal="left" vertical="center"/>
    </xf>
    <xf numFmtId="176" fontId="5" fillId="3" borderId="27" xfId="0" applyNumberFormat="1" applyFont="1" applyFill="1" applyBorder="1" applyAlignment="1">
      <alignment horizontal="left" vertical="center"/>
    </xf>
    <xf numFmtId="176" fontId="5" fillId="3" borderId="28" xfId="0" applyNumberFormat="1" applyFont="1" applyFill="1" applyBorder="1" applyAlignment="1">
      <alignment horizontal="left" vertical="center"/>
    </xf>
    <xf numFmtId="176" fontId="4" fillId="3" borderId="25" xfId="0" applyNumberFormat="1" applyFont="1" applyFill="1" applyBorder="1" applyAlignment="1">
      <alignment horizontal="center" vertical="center"/>
    </xf>
    <xf numFmtId="176" fontId="4" fillId="3" borderId="26" xfId="0" applyNumberFormat="1" applyFont="1" applyFill="1" applyBorder="1" applyAlignment="1">
      <alignment horizontal="center" vertical="center"/>
    </xf>
    <xf numFmtId="176" fontId="4" fillId="3" borderId="29" xfId="0" applyNumberFormat="1" applyFont="1" applyFill="1" applyBorder="1" applyAlignment="1">
      <alignment horizontal="center" vertical="center"/>
    </xf>
    <xf numFmtId="176" fontId="5" fillId="3" borderId="30" xfId="0" applyNumberFormat="1" applyFont="1" applyFill="1" applyBorder="1" applyAlignment="1">
      <alignment horizontal="left" vertical="center" wrapText="1" indent="1"/>
    </xf>
    <xf numFmtId="179" fontId="10" fillId="3" borderId="24" xfId="0" applyNumberFormat="1" applyFont="1" applyFill="1" applyBorder="1" applyAlignment="1">
      <alignment horizontal="center" vertical="center"/>
    </xf>
    <xf numFmtId="179" fontId="11" fillId="3" borderId="25" xfId="0" applyNumberFormat="1" applyFont="1" applyFill="1" applyBorder="1" applyAlignment="1"/>
    <xf numFmtId="0" fontId="4" fillId="0" borderId="25" xfId="0" applyFont="1" applyBorder="1"/>
    <xf numFmtId="0" fontId="4" fillId="0" borderId="26" xfId="0" applyFont="1" applyBorder="1"/>
    <xf numFmtId="0" fontId="4" fillId="0" borderId="24" xfId="0" applyFont="1" applyBorder="1"/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4" fillId="3" borderId="7" xfId="0" applyFont="1" applyFill="1" applyBorder="1" applyAlignment="1" quotePrefix="1">
      <alignment horizontal="center" vertical="center" wrapText="1"/>
    </xf>
    <xf numFmtId="0" fontId="4" fillId="0" borderId="7" xfId="0" applyFont="1" applyFill="1" applyBorder="1" applyAlignment="1" quotePrefix="1">
      <alignment horizontal="center" vertical="center"/>
    </xf>
    <xf numFmtId="0" fontId="4" fillId="0" borderId="7" xfId="0" applyFont="1" applyFill="1" applyBorder="1" applyAlignment="1" quotePrefix="1">
      <alignment horizontal="center" vertical="center" wrapText="1"/>
    </xf>
    <xf numFmtId="0" fontId="4" fillId="0" borderId="9" xfId="0" applyFont="1" applyFill="1" applyBorder="1" applyAlignment="1" quotePrefix="1">
      <alignment vertical="center"/>
    </xf>
    <xf numFmtId="0" fontId="4" fillId="3" borderId="10" xfId="0" applyFont="1" applyFill="1" applyBorder="1" applyAlignment="1" quotePrefix="1">
      <alignment horizontal="center" vertical="center" wrapText="1"/>
    </xf>
    <xf numFmtId="0" fontId="4" fillId="0" borderId="10" xfId="0" applyFont="1" applyFill="1" applyBorder="1" applyAlignment="1" quotePrefix="1">
      <alignment horizontal="center" vertical="center" wrapText="1"/>
    </xf>
    <xf numFmtId="0" fontId="4" fillId="3" borderId="13" xfId="0" applyFont="1" applyFill="1" applyBorder="1" applyAlignment="1" quotePrefix="1">
      <alignment horizontal="center" vertical="center" wrapText="1"/>
    </xf>
    <xf numFmtId="0" fontId="4" fillId="0" borderId="13" xfId="0" applyFont="1" applyFill="1" applyBorder="1" applyAlignment="1" quotePrefix="1">
      <alignment horizontal="center" vertical="center" wrapText="1"/>
    </xf>
    <xf numFmtId="0" fontId="4" fillId="0" borderId="14" xfId="0" applyFont="1" applyFill="1" applyBorder="1" applyAlignment="1" quotePrefix="1">
      <alignment vertical="center" wrapText="1"/>
    </xf>
    <xf numFmtId="0" fontId="4" fillId="3" borderId="15" xfId="0" applyFont="1" applyFill="1" applyBorder="1" applyAlignment="1" quotePrefix="1">
      <alignment horizontal="center" vertical="center" wrapText="1"/>
    </xf>
    <xf numFmtId="0" fontId="4" fillId="0" borderId="15" xfId="0" applyFont="1" applyFill="1" applyBorder="1" applyAlignment="1" quotePrefix="1">
      <alignment horizontal="center" vertical="center" wrapText="1"/>
    </xf>
    <xf numFmtId="0" fontId="4" fillId="0" borderId="6" xfId="0" applyFont="1" applyFill="1" applyBorder="1" applyAlignment="1" quotePrefix="1">
      <alignment vertical="center" wrapText="1"/>
    </xf>
    <xf numFmtId="0" fontId="4" fillId="0" borderId="17" xfId="0" applyFont="1" applyFill="1" applyBorder="1" applyAlignment="1" quotePrefix="1">
      <alignment horizontal="center" vertical="center" wrapText="1"/>
    </xf>
    <xf numFmtId="0" fontId="4" fillId="0" borderId="9" xfId="0" applyFont="1" applyFill="1" applyBorder="1" applyAlignment="1" quotePrefix="1">
      <alignment vertical="center" wrapText="1"/>
    </xf>
    <xf numFmtId="0" fontId="4" fillId="0" borderId="18" xfId="0" applyFont="1" applyFill="1" applyBorder="1" applyAlignment="1" quotePrefix="1">
      <alignment vertical="center" wrapText="1"/>
    </xf>
    <xf numFmtId="0" fontId="4" fillId="3" borderId="19" xfId="0" applyFont="1" applyFill="1" applyBorder="1" applyAlignment="1" quotePrefix="1">
      <alignment horizontal="center" vertical="center" wrapText="1"/>
    </xf>
    <xf numFmtId="0" fontId="4" fillId="0" borderId="19" xfId="0" applyFont="1" applyFill="1" applyBorder="1" applyAlignment="1" quotePrefix="1">
      <alignment horizontal="center" vertical="center" wrapText="1"/>
    </xf>
    <xf numFmtId="0" fontId="4" fillId="0" borderId="20" xfId="0" applyFont="1" applyFill="1" applyBorder="1" applyAlignment="1" quotePrefix="1">
      <alignment vertical="center" wrapText="1"/>
    </xf>
    <xf numFmtId="0" fontId="4" fillId="0" borderId="21" xfId="0" applyFont="1" applyFill="1" applyBorder="1" applyAlignment="1" quotePrefix="1">
      <alignment horizontal="center" vertical="center" wrapText="1"/>
    </xf>
    <xf numFmtId="0" fontId="4" fillId="0" borderId="12" xfId="0" applyFont="1" applyFill="1" applyBorder="1" applyAlignment="1" quotePrefix="1">
      <alignment vertical="center"/>
    </xf>
    <xf numFmtId="0" fontId="4" fillId="0" borderId="10" xfId="0" applyFont="1" applyFill="1" applyBorder="1" applyAlignment="1" quotePrefix="1">
      <alignment horizontal="center" vertical="center"/>
    </xf>
    <xf numFmtId="0" fontId="4" fillId="0" borderId="12" xfId="0" applyFont="1" applyFill="1" applyBorder="1" applyAlignment="1" quotePrefix="1">
      <alignment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digikey.com/en/products/detail/yageo/RC0603FR-07560RL/727304?s=N4IgTCBcDaIEoGEAMA2JBmAYnAtEg7AKxpwAyIAugL5A" TargetMode="External"/><Relationship Id="rId8" Type="http://schemas.openxmlformats.org/officeDocument/2006/relationships/hyperlink" Target="https://www.digikey.com/en/products/detail/yageo/RC0603FR-13470KL/13694191?s=N4IgTCBcDaIEoGEAMA2JBmAYnAtARnQBYB2JAaQBkQBdAXyA" TargetMode="External"/><Relationship Id="rId7" Type="http://schemas.openxmlformats.org/officeDocument/2006/relationships/hyperlink" Target="https://www.digikey.com/en/products/detail/yageo/RC0603FR-074K7L/727212?s=N4IgTCBcDaIEoGEAMA2JBmAYnAtEg7ACwDS%2BAMiALoC%2BQA" TargetMode="External"/><Relationship Id="rId6" Type="http://schemas.openxmlformats.org/officeDocument/2006/relationships/hyperlink" Target="https://www.digikey.com/en/products/detail/bourns-inc/TC33X-2-103E/612858?s=N4IgTCBcDaICoGEDMSAaBaM6CMAGJAoiALoC%2BQA" TargetMode="External"/><Relationship Id="rId5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4" Type="http://schemas.openxmlformats.org/officeDocument/2006/relationships/hyperlink" Target="https://www.digikey.com/en/products/detail/diodes-incorporated/2N7002T-7-F/814963?s=N4IgTCBcDa4HIHYAMSwBUC0CMDEQF0BfIA" TargetMode="External"/><Relationship Id="rId3" Type="http://schemas.openxmlformats.org/officeDocument/2006/relationships/hyperlink" Target="https://www.digikey.com/en/products/detail/sunled/XZVG68W-2/4745975?s=N4IgTCBcDaIBoC0BqBxAbADgOoFoIF0BfIA" TargetMode="External"/><Relationship Id="rId24" Type="http://schemas.openxmlformats.org/officeDocument/2006/relationships/hyperlink" Target="https://www.digikey.com/en/products/detail/silicon-labs/CP2102N-A02-GQFN24R/9863479?s=N4IgTCBcDaIMIAUwEYAMYByBaAgurA4gIoBiGYALAEogC6AvkA" TargetMode="External"/><Relationship Id="rId23" Type="http://schemas.openxmlformats.org/officeDocument/2006/relationships/hyperlink" Target="https://www.digikey.com/en/products/detail/yageo/RC0603JR-07100KL/726698?s=N4IgTCBcDaIEoGEAMA2JBmAUnAtEg7AIxJIDSAMiALoC%2BQA" TargetMode="External"/><Relationship Id="rId22" Type="http://schemas.openxmlformats.org/officeDocument/2006/relationships/hyperlink" Target="https://www.digikey.com/en/products/detail/yageo/RC0603JR-070RP/4935322?s=N4IgTCBcDaIEoGEAMA2JBmAUnAtEg7EnAAogC6AvkA" TargetMode="External"/><Relationship Id="rId21" Type="http://schemas.openxmlformats.org/officeDocument/2006/relationships/hyperlink" Target="https://www.digikey.com/en/products/detail/yageo/RC0603FR-0747K5L/727255?s=N4IgTCBcDaIEoGEAMA2JBmAYnAtEg7ACz4DSArADIgC6AvkA" TargetMode="External"/><Relationship Id="rId20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2" Type="http://schemas.openxmlformats.org/officeDocument/2006/relationships/hyperlink" Target="https://www.digikey.com/en/products/detail/samsung-electro-mechanics/CL10A105KA8NNNC/3886760?s=N4IgTCBcDaIMIBkCMAGAgqgrAaTQDgDki4QBdAXyA" TargetMode="External"/><Relationship Id="rId19" Type="http://schemas.openxmlformats.org/officeDocument/2006/relationships/hyperlink" Target="https://www.digikey.com/en/products/detail/stackpole-electronics-inc/RMCF0603JJ1K00/6053783?s=N4IgTCBcDaIEoFkDCAxADANjQZgFK4EYBpNNEAXQF8g" TargetMode="External"/><Relationship Id="rId18" Type="http://schemas.openxmlformats.org/officeDocument/2006/relationships/hyperlink" Target="https://www.digikey.com/en/products/detail/diodes-incorporated/BSS8402DW-7-F/815002?s=N4IgTCBcDaIEIGUEA4AsAGMARA6gWgHY8AxEAXQF8g" TargetMode="External"/><Relationship Id="rId17" Type="http://schemas.openxmlformats.org/officeDocument/2006/relationships/hyperlink" Target="https://www.digikey.com/en/products/detail/diodes-incorporated/MMBT2222A-7-F/814503" TargetMode="External"/><Relationship Id="rId16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15" Type="http://schemas.openxmlformats.org/officeDocument/2006/relationships/hyperlink" Target="https://www.digikey.com/en/products/detail/jst-sales-america-inc/B2B-XH-A-LF-SN/1651045" TargetMode="External"/><Relationship Id="rId14" Type="http://schemas.openxmlformats.org/officeDocument/2006/relationships/hyperlink" Target="https://www.digikey.com/en/products/detail/amphenol-icc-fci/10118194-0001LF/2785389?s=N4IgTCBcDaIIwAY5wBxwJwBYC0C9wBkAxEAXQF8g" TargetMode="External"/><Relationship Id="rId13" Type="http://schemas.openxmlformats.org/officeDocument/2006/relationships/hyperlink" Target="https://www.digikey.com/en/products/detail/onsemi/NCP692MN33T2G/2194205" TargetMode="External"/><Relationship Id="rId12" Type="http://schemas.openxmlformats.org/officeDocument/2006/relationships/hyperlink" Target="https://www.digikey.com/en/products/detail/stmicroelectronics/LM393ADT/725475" TargetMode="External"/><Relationship Id="rId11" Type="http://schemas.openxmlformats.org/officeDocument/2006/relationships/hyperlink" Target="https://www.digikey.com/en/products/detail/espressif-systems/ESP32-WROOM-32D-8MB/9381717?s=N4IgTCBcDaIKIGUAKBmMBaA6gJQPK4Fl00ARAAgAoAOAgIQEoQBdAXyA" TargetMode="External"/><Relationship Id="rId10" Type="http://schemas.openxmlformats.org/officeDocument/2006/relationships/hyperlink" Target="https://www.digikey.com/en/products/detail/omron-electronics-inc-emc-div/B3U-1000P/1534338" TargetMode="External"/><Relationship Id="rId1" Type="http://schemas.openxmlformats.org/officeDocument/2006/relationships/hyperlink" Target="https://www.digikey.com/en/products/detail/samsung-electro-mechanics/CL10B104KB8NNNL/3894274?s=N4IgTCBcDaIMIBkCMAGAQqgLAaTQDgDkiEQBdAX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1"/>
  <sheetViews>
    <sheetView tabSelected="1" workbookViewId="0">
      <selection activeCell="C16" sqref="C16"/>
    </sheetView>
  </sheetViews>
  <sheetFormatPr defaultColWidth="9" defaultRowHeight="15"/>
  <cols>
    <col min="1" max="1" width="6.71428571428571" customWidth="1"/>
    <col min="2" max="2" width="13.4285714285714" customWidth="1"/>
    <col min="3" max="3" width="31.5714285714286" customWidth="1"/>
    <col min="4" max="4" width="12.4285714285714" customWidth="1"/>
    <col min="5" max="5" width="20.5714285714286" customWidth="1"/>
    <col min="6" max="6" width="28.5714285714286" customWidth="1"/>
    <col min="7" max="7" width="15.7142857142857" customWidth="1"/>
    <col min="8" max="8" width="11" customWidth="1"/>
    <col min="9" max="9" width="7" customWidth="1"/>
    <col min="10" max="10" width="22.1428571428571" customWidth="1"/>
    <col min="11" max="11" width="11.4285714285714" customWidth="1"/>
    <col min="12" max="12" width="7.28571428571429" customWidth="1"/>
    <col min="13" max="13" width="12.4285714285714" customWidth="1"/>
    <col min="14" max="14" width="13.4285714285714" customWidth="1"/>
    <col min="15" max="15" width="20.5714285714286" customWidth="1"/>
    <col min="16" max="16" width="14" customWidth="1"/>
    <col min="17" max="17" width="24.7142857142857" customWidth="1"/>
  </cols>
  <sheetData>
    <row r="1" ht="16.5" spans="1:17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45"/>
    </row>
    <row r="2" ht="16.5" spans="1:17">
      <c r="A2" s="3" t="s">
        <v>1</v>
      </c>
      <c r="B2" s="1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2" t="s">
        <v>12</v>
      </c>
      <c r="M2" s="4" t="s">
        <v>13</v>
      </c>
      <c r="N2" s="4" t="s">
        <v>14</v>
      </c>
      <c r="O2" s="4" t="s">
        <v>15</v>
      </c>
      <c r="P2" s="45" t="s">
        <v>16</v>
      </c>
      <c r="Q2" s="4" t="s">
        <v>17</v>
      </c>
    </row>
    <row r="3" ht="26.25" spans="1:17">
      <c r="A3" s="5">
        <v>1</v>
      </c>
      <c r="B3" s="6" t="s">
        <v>18</v>
      </c>
      <c r="C3" s="7" t="s">
        <v>19</v>
      </c>
      <c r="D3" s="90" t="s">
        <v>20</v>
      </c>
      <c r="E3" s="91" t="s">
        <v>21</v>
      </c>
      <c r="F3" s="91" t="s">
        <v>22</v>
      </c>
      <c r="G3" s="10" t="s">
        <v>23</v>
      </c>
      <c r="H3" s="10" t="s">
        <v>24</v>
      </c>
      <c r="I3" s="92" t="s">
        <v>25</v>
      </c>
      <c r="J3" s="10">
        <v>6</v>
      </c>
      <c r="K3" s="10">
        <f t="shared" ref="K3:K29" si="0">J3*5</f>
        <v>30</v>
      </c>
      <c r="L3" s="46" t="s">
        <v>26</v>
      </c>
      <c r="M3" s="47">
        <v>0.1</v>
      </c>
      <c r="N3" s="48">
        <f t="shared" ref="N3:N27" si="1">M3*J3</f>
        <v>0.6</v>
      </c>
      <c r="O3" s="47">
        <v>0.031</v>
      </c>
      <c r="P3" s="48">
        <f t="shared" ref="P3:P27" si="2">O3*K3</f>
        <v>0.93</v>
      </c>
      <c r="Q3" s="74"/>
    </row>
    <row r="4" ht="15.75" spans="1:17">
      <c r="A4" s="5">
        <v>2</v>
      </c>
      <c r="B4" s="11"/>
      <c r="C4" s="93" t="s">
        <v>27</v>
      </c>
      <c r="D4" s="94" t="s">
        <v>28</v>
      </c>
      <c r="E4" s="95" t="s">
        <v>21</v>
      </c>
      <c r="F4" s="95" t="s">
        <v>29</v>
      </c>
      <c r="G4" s="15" t="s">
        <v>30</v>
      </c>
      <c r="H4" s="15" t="s">
        <v>24</v>
      </c>
      <c r="I4" s="14" t="s">
        <v>31</v>
      </c>
      <c r="J4" s="15">
        <v>2</v>
      </c>
      <c r="K4" s="15">
        <f t="shared" si="0"/>
        <v>10</v>
      </c>
      <c r="L4" s="49" t="s">
        <v>26</v>
      </c>
      <c r="M4" s="50">
        <v>0.37</v>
      </c>
      <c r="N4" s="51">
        <f t="shared" si="1"/>
        <v>0.74</v>
      </c>
      <c r="O4" s="50">
        <v>0.258</v>
      </c>
      <c r="P4" s="51">
        <f t="shared" si="2"/>
        <v>2.58</v>
      </c>
      <c r="Q4" s="75"/>
    </row>
    <row r="5" ht="15.75" spans="1:17">
      <c r="A5" s="5">
        <v>3</v>
      </c>
      <c r="B5" s="16"/>
      <c r="C5" s="17" t="s">
        <v>32</v>
      </c>
      <c r="D5" s="96" t="s">
        <v>33</v>
      </c>
      <c r="E5" s="97" t="s">
        <v>21</v>
      </c>
      <c r="F5" s="97" t="s">
        <v>34</v>
      </c>
      <c r="G5" s="20" t="s">
        <v>23</v>
      </c>
      <c r="H5" s="20" t="s">
        <v>24</v>
      </c>
      <c r="I5" s="97" t="s">
        <v>35</v>
      </c>
      <c r="J5" s="20">
        <v>2</v>
      </c>
      <c r="K5" s="20">
        <f t="shared" si="0"/>
        <v>10</v>
      </c>
      <c r="L5" s="52" t="s">
        <v>26</v>
      </c>
      <c r="M5" s="53">
        <v>0.1</v>
      </c>
      <c r="N5" s="54">
        <f t="shared" si="1"/>
        <v>0.2</v>
      </c>
      <c r="O5" s="53">
        <v>0.035</v>
      </c>
      <c r="P5" s="54">
        <f t="shared" si="2"/>
        <v>0.35</v>
      </c>
      <c r="Q5" s="76"/>
    </row>
    <row r="6" ht="16.5" spans="1:17">
      <c r="A6" s="5">
        <v>4</v>
      </c>
      <c r="B6" s="16" t="s">
        <v>36</v>
      </c>
      <c r="C6" s="98" t="s">
        <v>37</v>
      </c>
      <c r="D6" s="99" t="s">
        <v>38</v>
      </c>
      <c r="E6" s="100" t="s">
        <v>39</v>
      </c>
      <c r="F6" s="100" t="s">
        <v>40</v>
      </c>
      <c r="G6" s="24" t="s">
        <v>41</v>
      </c>
      <c r="H6" s="24" t="s">
        <v>24</v>
      </c>
      <c r="I6" s="24" t="s">
        <v>24</v>
      </c>
      <c r="J6" s="24">
        <v>4</v>
      </c>
      <c r="K6" s="24">
        <f t="shared" si="0"/>
        <v>20</v>
      </c>
      <c r="L6" s="55" t="s">
        <v>26</v>
      </c>
      <c r="M6" s="56">
        <v>0.37</v>
      </c>
      <c r="N6" s="57">
        <f t="shared" si="1"/>
        <v>1.48</v>
      </c>
      <c r="O6" s="56">
        <v>0.293</v>
      </c>
      <c r="P6" s="58">
        <f t="shared" si="2"/>
        <v>5.86</v>
      </c>
      <c r="Q6" s="77"/>
    </row>
    <row r="7" ht="15.75" spans="1:17">
      <c r="A7" s="5">
        <v>5</v>
      </c>
      <c r="B7" s="6" t="s">
        <v>42</v>
      </c>
      <c r="C7" s="101" t="s">
        <v>43</v>
      </c>
      <c r="D7" s="90" t="s">
        <v>44</v>
      </c>
      <c r="E7" s="92" t="s">
        <v>45</v>
      </c>
      <c r="F7" s="92" t="s">
        <v>46</v>
      </c>
      <c r="G7" s="10" t="s">
        <v>47</v>
      </c>
      <c r="H7" s="10" t="s">
        <v>24</v>
      </c>
      <c r="I7" s="10" t="s">
        <v>24</v>
      </c>
      <c r="J7" s="10">
        <v>1</v>
      </c>
      <c r="K7" s="10">
        <f t="shared" si="0"/>
        <v>5</v>
      </c>
      <c r="L7" s="59" t="s">
        <v>26</v>
      </c>
      <c r="M7" s="47">
        <v>0.44</v>
      </c>
      <c r="N7" s="48">
        <f t="shared" si="1"/>
        <v>0.44</v>
      </c>
      <c r="O7" s="47">
        <v>0.44</v>
      </c>
      <c r="P7" s="51">
        <f t="shared" si="2"/>
        <v>2.2</v>
      </c>
      <c r="Q7" s="74"/>
    </row>
    <row r="8" ht="15.75" spans="1:17">
      <c r="A8" s="5">
        <v>6</v>
      </c>
      <c r="B8" s="11"/>
      <c r="C8" s="12" t="s">
        <v>48</v>
      </c>
      <c r="D8" s="94" t="s">
        <v>49</v>
      </c>
      <c r="E8" s="95" t="s">
        <v>50</v>
      </c>
      <c r="F8" s="95" t="s">
        <v>51</v>
      </c>
      <c r="G8" s="15" t="s">
        <v>47</v>
      </c>
      <c r="H8" s="15" t="s">
        <v>24</v>
      </c>
      <c r="I8" s="15" t="s">
        <v>24</v>
      </c>
      <c r="J8" s="15">
        <v>2</v>
      </c>
      <c r="K8" s="15">
        <f t="shared" si="0"/>
        <v>10</v>
      </c>
      <c r="L8" s="60" t="s">
        <v>26</v>
      </c>
      <c r="M8" s="50">
        <v>0.14</v>
      </c>
      <c r="N8" s="51">
        <f t="shared" si="1"/>
        <v>0.28</v>
      </c>
      <c r="O8" s="50">
        <v>0.132</v>
      </c>
      <c r="P8" s="51">
        <f t="shared" si="2"/>
        <v>1.32</v>
      </c>
      <c r="Q8" s="75"/>
    </row>
    <row r="9" ht="15.75" spans="1:17">
      <c r="A9" s="5">
        <v>7</v>
      </c>
      <c r="B9" s="11"/>
      <c r="C9" s="27" t="s">
        <v>52</v>
      </c>
      <c r="D9" s="28" t="s">
        <v>53</v>
      </c>
      <c r="E9" s="102" t="s">
        <v>54</v>
      </c>
      <c r="F9" s="102" t="s">
        <v>55</v>
      </c>
      <c r="G9" s="29" t="s">
        <v>47</v>
      </c>
      <c r="H9" s="29" t="s">
        <v>24</v>
      </c>
      <c r="I9" s="29" t="s">
        <v>24</v>
      </c>
      <c r="J9" s="35">
        <v>1</v>
      </c>
      <c r="K9" s="35">
        <f t="shared" si="0"/>
        <v>5</v>
      </c>
      <c r="L9" s="61" t="s">
        <v>26</v>
      </c>
      <c r="M9" s="62">
        <v>0.55</v>
      </c>
      <c r="N9" s="63">
        <f t="shared" si="1"/>
        <v>0.55</v>
      </c>
      <c r="O9" s="62">
        <v>0.55</v>
      </c>
      <c r="P9" s="63">
        <f t="shared" si="2"/>
        <v>2.75</v>
      </c>
      <c r="Q9" s="78"/>
    </row>
    <row r="10" ht="26.25" spans="1:17">
      <c r="A10" s="5">
        <v>8</v>
      </c>
      <c r="B10" s="6" t="s">
        <v>56</v>
      </c>
      <c r="C10" s="7" t="s">
        <v>57</v>
      </c>
      <c r="D10" s="90" t="s">
        <v>58</v>
      </c>
      <c r="E10" s="92" t="s">
        <v>59</v>
      </c>
      <c r="F10" s="92" t="s">
        <v>60</v>
      </c>
      <c r="G10" s="10" t="s">
        <v>61</v>
      </c>
      <c r="H10" s="10" t="s">
        <v>24</v>
      </c>
      <c r="I10" s="92" t="s">
        <v>62</v>
      </c>
      <c r="J10" s="26">
        <v>5</v>
      </c>
      <c r="K10" s="10">
        <f t="shared" si="0"/>
        <v>25</v>
      </c>
      <c r="L10" s="59" t="s">
        <v>26</v>
      </c>
      <c r="M10" s="47">
        <v>0.1</v>
      </c>
      <c r="N10" s="48">
        <f t="shared" si="1"/>
        <v>0.5</v>
      </c>
      <c r="O10" s="47">
        <v>0.058</v>
      </c>
      <c r="P10" s="48">
        <f t="shared" si="2"/>
        <v>1.45</v>
      </c>
      <c r="Q10" s="74"/>
    </row>
    <row r="11" ht="15.75" spans="1:17">
      <c r="A11" s="5">
        <v>9</v>
      </c>
      <c r="B11" s="11"/>
      <c r="C11" s="103" t="s">
        <v>63</v>
      </c>
      <c r="D11" s="94" t="s">
        <v>64</v>
      </c>
      <c r="E11" s="14" t="s">
        <v>65</v>
      </c>
      <c r="F11" s="95" t="s">
        <v>66</v>
      </c>
      <c r="G11" s="15" t="s">
        <v>67</v>
      </c>
      <c r="H11" s="15" t="s">
        <v>24</v>
      </c>
      <c r="I11" s="95" t="s">
        <v>62</v>
      </c>
      <c r="J11" s="14">
        <v>1</v>
      </c>
      <c r="K11" s="15">
        <f t="shared" si="0"/>
        <v>5</v>
      </c>
      <c r="L11" s="60" t="s">
        <v>26</v>
      </c>
      <c r="M11" s="50">
        <v>0.26</v>
      </c>
      <c r="N11" s="51">
        <f t="shared" si="1"/>
        <v>0.26</v>
      </c>
      <c r="O11" s="50">
        <v>0.26</v>
      </c>
      <c r="P11" s="51">
        <f t="shared" si="2"/>
        <v>1.3</v>
      </c>
      <c r="Q11" s="75"/>
    </row>
    <row r="12" ht="15.75" spans="1:17">
      <c r="A12" s="5">
        <v>10</v>
      </c>
      <c r="B12" s="11"/>
      <c r="C12" s="103" t="s">
        <v>68</v>
      </c>
      <c r="D12" s="94" t="s">
        <v>69</v>
      </c>
      <c r="E12" s="95" t="s">
        <v>59</v>
      </c>
      <c r="F12" s="95" t="s">
        <v>70</v>
      </c>
      <c r="G12" s="15" t="s">
        <v>71</v>
      </c>
      <c r="H12" s="15" t="s">
        <v>24</v>
      </c>
      <c r="I12" s="95" t="s">
        <v>72</v>
      </c>
      <c r="J12" s="14">
        <v>2</v>
      </c>
      <c r="K12" s="15">
        <f t="shared" si="0"/>
        <v>10</v>
      </c>
      <c r="L12" s="60" t="s">
        <v>26</v>
      </c>
      <c r="M12" s="50">
        <v>0.1</v>
      </c>
      <c r="N12" s="51">
        <f t="shared" si="1"/>
        <v>0.2</v>
      </c>
      <c r="O12" s="50">
        <v>0.1</v>
      </c>
      <c r="P12" s="51">
        <f t="shared" si="2"/>
        <v>1</v>
      </c>
      <c r="Q12" s="75"/>
    </row>
    <row r="13" ht="15.75" spans="1:17">
      <c r="A13" s="5">
        <v>11</v>
      </c>
      <c r="B13" s="11"/>
      <c r="C13" s="12" t="s">
        <v>73</v>
      </c>
      <c r="D13" s="94" t="s">
        <v>74</v>
      </c>
      <c r="E13" s="95" t="s">
        <v>59</v>
      </c>
      <c r="F13" s="95" t="s">
        <v>75</v>
      </c>
      <c r="G13" s="15" t="s">
        <v>71</v>
      </c>
      <c r="H13" s="31" t="s">
        <v>24</v>
      </c>
      <c r="I13" s="95" t="s">
        <v>76</v>
      </c>
      <c r="J13" s="14">
        <v>1</v>
      </c>
      <c r="K13" s="15">
        <f t="shared" si="0"/>
        <v>5</v>
      </c>
      <c r="L13" s="60" t="s">
        <v>26</v>
      </c>
      <c r="M13" s="50">
        <v>0.1</v>
      </c>
      <c r="N13" s="51">
        <f t="shared" si="1"/>
        <v>0.1</v>
      </c>
      <c r="O13" s="50">
        <v>0.1</v>
      </c>
      <c r="P13" s="51">
        <f t="shared" si="2"/>
        <v>0.5</v>
      </c>
      <c r="Q13" s="75"/>
    </row>
    <row r="14" ht="15.75" spans="1:17">
      <c r="A14" s="5">
        <v>12</v>
      </c>
      <c r="B14" s="11"/>
      <c r="C14" s="12" t="s">
        <v>77</v>
      </c>
      <c r="D14" s="94" t="s">
        <v>78</v>
      </c>
      <c r="E14" s="95" t="s">
        <v>59</v>
      </c>
      <c r="F14" s="95" t="s">
        <v>79</v>
      </c>
      <c r="G14" s="15" t="s">
        <v>71</v>
      </c>
      <c r="H14" s="15" t="s">
        <v>24</v>
      </c>
      <c r="I14" s="95" t="s">
        <v>80</v>
      </c>
      <c r="J14" s="14">
        <v>3</v>
      </c>
      <c r="K14" s="15">
        <f t="shared" si="0"/>
        <v>15</v>
      </c>
      <c r="L14" s="60" t="s">
        <v>26</v>
      </c>
      <c r="M14" s="51">
        <v>0.1</v>
      </c>
      <c r="N14" s="51">
        <f t="shared" si="1"/>
        <v>0.3</v>
      </c>
      <c r="O14" s="51">
        <v>0.024</v>
      </c>
      <c r="P14" s="51">
        <f t="shared" si="2"/>
        <v>0.36</v>
      </c>
      <c r="Q14" s="79"/>
    </row>
    <row r="15" ht="15.75" spans="1:17">
      <c r="A15" s="5">
        <v>13</v>
      </c>
      <c r="B15" s="11"/>
      <c r="C15" s="103" t="s">
        <v>81</v>
      </c>
      <c r="D15" s="94" t="s">
        <v>82</v>
      </c>
      <c r="E15" s="95" t="s">
        <v>59</v>
      </c>
      <c r="F15" s="95" t="s">
        <v>83</v>
      </c>
      <c r="G15" s="15" t="s">
        <v>84</v>
      </c>
      <c r="H15" s="15" t="s">
        <v>24</v>
      </c>
      <c r="I15" s="14" t="s">
        <v>85</v>
      </c>
      <c r="J15" s="14">
        <v>1</v>
      </c>
      <c r="K15" s="15">
        <f t="shared" si="0"/>
        <v>5</v>
      </c>
      <c r="L15" s="60" t="s">
        <v>26</v>
      </c>
      <c r="M15" s="51">
        <v>0.1</v>
      </c>
      <c r="N15" s="51">
        <f t="shared" si="1"/>
        <v>0.1</v>
      </c>
      <c r="O15" s="51">
        <v>0.1</v>
      </c>
      <c r="P15" s="51">
        <f t="shared" si="2"/>
        <v>0.5</v>
      </c>
      <c r="Q15" s="79"/>
    </row>
    <row r="16" ht="15.75" spans="1:17">
      <c r="A16" s="5">
        <v>14</v>
      </c>
      <c r="B16" s="11"/>
      <c r="C16" s="103" t="s">
        <v>86</v>
      </c>
      <c r="D16" s="94" t="s">
        <v>87</v>
      </c>
      <c r="E16" s="95" t="s">
        <v>59</v>
      </c>
      <c r="F16" s="95" t="s">
        <v>88</v>
      </c>
      <c r="G16" s="15" t="s">
        <v>89</v>
      </c>
      <c r="H16" s="15" t="s">
        <v>24</v>
      </c>
      <c r="I16" s="14" t="s">
        <v>90</v>
      </c>
      <c r="J16" s="14">
        <v>1</v>
      </c>
      <c r="K16" s="15">
        <f t="shared" si="0"/>
        <v>5</v>
      </c>
      <c r="L16" s="60" t="s">
        <v>26</v>
      </c>
      <c r="M16" s="51">
        <v>0.1</v>
      </c>
      <c r="N16" s="51">
        <f t="shared" si="1"/>
        <v>0.1</v>
      </c>
      <c r="O16" s="51">
        <v>0.1</v>
      </c>
      <c r="P16" s="51">
        <f t="shared" si="2"/>
        <v>0.5</v>
      </c>
      <c r="Q16" s="79"/>
    </row>
    <row r="17" ht="15.75" spans="1:17">
      <c r="A17" s="5">
        <v>15</v>
      </c>
      <c r="B17" s="11"/>
      <c r="C17" s="12" t="s">
        <v>91</v>
      </c>
      <c r="D17" s="94" t="s">
        <v>92</v>
      </c>
      <c r="E17" s="95" t="s">
        <v>59</v>
      </c>
      <c r="F17" s="95" t="s">
        <v>93</v>
      </c>
      <c r="G17" s="15" t="s">
        <v>71</v>
      </c>
      <c r="H17" s="15" t="s">
        <v>24</v>
      </c>
      <c r="I17" s="14" t="s">
        <v>94</v>
      </c>
      <c r="J17" s="14">
        <v>1</v>
      </c>
      <c r="K17" s="15">
        <f t="shared" si="0"/>
        <v>5</v>
      </c>
      <c r="L17" s="60" t="s">
        <v>26</v>
      </c>
      <c r="M17" s="51">
        <v>0.1</v>
      </c>
      <c r="N17" s="51">
        <f t="shared" si="1"/>
        <v>0.1</v>
      </c>
      <c r="O17" s="51">
        <v>0.1</v>
      </c>
      <c r="P17" s="51">
        <f t="shared" si="2"/>
        <v>0.5</v>
      </c>
      <c r="Q17" s="79"/>
    </row>
    <row r="18" ht="15.75" spans="1:17">
      <c r="A18" s="5">
        <v>16</v>
      </c>
      <c r="B18" s="11"/>
      <c r="C18" s="103" t="s">
        <v>95</v>
      </c>
      <c r="D18" s="94" t="s">
        <v>96</v>
      </c>
      <c r="E18" s="95" t="s">
        <v>59</v>
      </c>
      <c r="F18" s="95" t="s">
        <v>97</v>
      </c>
      <c r="G18" s="15" t="s">
        <v>71</v>
      </c>
      <c r="H18" s="15" t="s">
        <v>24</v>
      </c>
      <c r="I18" s="14" t="s">
        <v>98</v>
      </c>
      <c r="J18" s="14">
        <v>1</v>
      </c>
      <c r="K18" s="15">
        <f t="shared" si="0"/>
        <v>5</v>
      </c>
      <c r="L18" s="60" t="s">
        <v>26</v>
      </c>
      <c r="M18" s="51">
        <v>0.1</v>
      </c>
      <c r="N18" s="51">
        <f t="shared" si="1"/>
        <v>0.1</v>
      </c>
      <c r="O18" s="51">
        <v>0.1</v>
      </c>
      <c r="P18" s="51">
        <f t="shared" si="2"/>
        <v>0.5</v>
      </c>
      <c r="Q18" s="79"/>
    </row>
    <row r="19" ht="26.25" spans="1:17">
      <c r="A19" s="5">
        <v>17</v>
      </c>
      <c r="B19" s="16"/>
      <c r="C19" s="17" t="s">
        <v>99</v>
      </c>
      <c r="D19" s="96" t="s">
        <v>100</v>
      </c>
      <c r="E19" s="97" t="s">
        <v>59</v>
      </c>
      <c r="F19" s="97" t="s">
        <v>101</v>
      </c>
      <c r="G19" s="20" t="s">
        <v>71</v>
      </c>
      <c r="H19" s="20" t="s">
        <v>24</v>
      </c>
      <c r="I19" s="19" t="s">
        <v>102</v>
      </c>
      <c r="J19" s="19">
        <v>4</v>
      </c>
      <c r="K19" s="20">
        <f t="shared" si="0"/>
        <v>20</v>
      </c>
      <c r="L19" s="52" t="s">
        <v>26</v>
      </c>
      <c r="M19" s="54">
        <v>0.1</v>
      </c>
      <c r="N19" s="54">
        <f t="shared" si="1"/>
        <v>0.4</v>
      </c>
      <c r="O19" s="54">
        <v>0.1</v>
      </c>
      <c r="P19" s="54">
        <f t="shared" si="2"/>
        <v>2</v>
      </c>
      <c r="Q19" s="80"/>
    </row>
    <row r="20" ht="16.5" spans="1:17">
      <c r="A20" s="5">
        <v>18</v>
      </c>
      <c r="B20" s="11" t="s">
        <v>103</v>
      </c>
      <c r="C20" s="104" t="s">
        <v>104</v>
      </c>
      <c r="D20" s="105" t="s">
        <v>105</v>
      </c>
      <c r="E20" s="34" t="s">
        <v>65</v>
      </c>
      <c r="F20" s="106" t="s">
        <v>106</v>
      </c>
      <c r="G20" s="35"/>
      <c r="H20" s="35"/>
      <c r="I20" s="35" t="s">
        <v>24</v>
      </c>
      <c r="J20" s="35">
        <v>1</v>
      </c>
      <c r="K20" s="35">
        <f t="shared" si="0"/>
        <v>5</v>
      </c>
      <c r="L20" s="64"/>
      <c r="M20" s="58"/>
      <c r="N20" s="58">
        <f t="shared" si="1"/>
        <v>0</v>
      </c>
      <c r="O20" s="58"/>
      <c r="P20" s="58">
        <f t="shared" si="2"/>
        <v>0</v>
      </c>
      <c r="Q20" s="81"/>
    </row>
    <row r="21" ht="16.5" spans="1:17">
      <c r="A21" s="5">
        <v>19</v>
      </c>
      <c r="B21" s="36" t="s">
        <v>107</v>
      </c>
      <c r="C21" s="107" t="s">
        <v>108</v>
      </c>
      <c r="D21" s="108" t="s">
        <v>109</v>
      </c>
      <c r="E21" s="38" t="s">
        <v>65</v>
      </c>
      <c r="F21" s="108" t="s">
        <v>110</v>
      </c>
      <c r="G21" s="39" t="s">
        <v>111</v>
      </c>
      <c r="H21" s="39" t="s">
        <v>24</v>
      </c>
      <c r="I21" s="39" t="s">
        <v>24</v>
      </c>
      <c r="J21" s="39">
        <v>2</v>
      </c>
      <c r="K21" s="39">
        <f t="shared" si="0"/>
        <v>10</v>
      </c>
      <c r="L21" s="65" t="s">
        <v>26</v>
      </c>
      <c r="M21" s="66">
        <v>0.96</v>
      </c>
      <c r="N21" s="67">
        <f t="shared" si="1"/>
        <v>1.92</v>
      </c>
      <c r="O21" s="67">
        <v>0.927</v>
      </c>
      <c r="P21" s="67">
        <f t="shared" si="2"/>
        <v>9.27</v>
      </c>
      <c r="Q21" s="82"/>
    </row>
    <row r="22" ht="15.75" spans="1:17">
      <c r="A22" s="5">
        <v>20</v>
      </c>
      <c r="B22" s="6" t="s">
        <v>112</v>
      </c>
      <c r="C22" s="101" t="s">
        <v>113</v>
      </c>
      <c r="D22" s="92" t="s">
        <v>114</v>
      </c>
      <c r="E22" s="26" t="s">
        <v>65</v>
      </c>
      <c r="F22" s="92" t="s">
        <v>115</v>
      </c>
      <c r="G22" s="10" t="s">
        <v>116</v>
      </c>
      <c r="H22" s="10" t="s">
        <v>24</v>
      </c>
      <c r="I22" s="10" t="s">
        <v>24</v>
      </c>
      <c r="J22" s="26">
        <v>1</v>
      </c>
      <c r="K22" s="10">
        <f t="shared" si="0"/>
        <v>5</v>
      </c>
      <c r="L22" s="59" t="s">
        <v>26</v>
      </c>
      <c r="M22" s="47">
        <v>4.35</v>
      </c>
      <c r="N22" s="48">
        <f t="shared" si="1"/>
        <v>4.35</v>
      </c>
      <c r="O22" s="48">
        <v>4.35</v>
      </c>
      <c r="P22" s="48">
        <f t="shared" si="2"/>
        <v>21.75</v>
      </c>
      <c r="Q22" s="83"/>
    </row>
    <row r="23" ht="15.75" spans="1:17">
      <c r="A23" s="5">
        <v>21</v>
      </c>
      <c r="B23" s="11"/>
      <c r="C23" s="12" t="s">
        <v>117</v>
      </c>
      <c r="D23" s="95" t="s">
        <v>118</v>
      </c>
      <c r="E23" s="95" t="s">
        <v>119</v>
      </c>
      <c r="F23" s="95" t="s">
        <v>120</v>
      </c>
      <c r="G23" s="15" t="s">
        <v>121</v>
      </c>
      <c r="H23" s="15" t="s">
        <v>24</v>
      </c>
      <c r="I23" s="15" t="s">
        <v>24</v>
      </c>
      <c r="J23" s="14">
        <v>1</v>
      </c>
      <c r="K23" s="15">
        <f t="shared" si="0"/>
        <v>5</v>
      </c>
      <c r="L23" s="60" t="s">
        <v>26</v>
      </c>
      <c r="M23" s="50">
        <v>0.43</v>
      </c>
      <c r="N23" s="51">
        <f t="shared" si="1"/>
        <v>0.43</v>
      </c>
      <c r="O23" s="51">
        <v>0.43</v>
      </c>
      <c r="P23" s="51">
        <f t="shared" si="2"/>
        <v>2.15</v>
      </c>
      <c r="Q23" s="84"/>
    </row>
    <row r="24" ht="15.75" spans="1:17">
      <c r="A24" s="5">
        <v>22</v>
      </c>
      <c r="B24" s="11"/>
      <c r="C24" s="12" t="s">
        <v>122</v>
      </c>
      <c r="D24" s="95" t="s">
        <v>123</v>
      </c>
      <c r="E24" s="95" t="s">
        <v>124</v>
      </c>
      <c r="F24" s="95" t="s">
        <v>125</v>
      </c>
      <c r="G24" s="15" t="s">
        <v>126</v>
      </c>
      <c r="H24" s="15" t="s">
        <v>24</v>
      </c>
      <c r="I24" s="15" t="s">
        <v>24</v>
      </c>
      <c r="J24" s="14">
        <v>1</v>
      </c>
      <c r="K24" s="15">
        <f t="shared" si="0"/>
        <v>5</v>
      </c>
      <c r="L24" s="60" t="s">
        <v>26</v>
      </c>
      <c r="M24" s="50">
        <v>1.11</v>
      </c>
      <c r="N24" s="51">
        <f t="shared" si="1"/>
        <v>1.11</v>
      </c>
      <c r="O24" s="51">
        <v>1.11</v>
      </c>
      <c r="P24" s="51">
        <f t="shared" si="2"/>
        <v>5.55</v>
      </c>
      <c r="Q24" s="85"/>
    </row>
    <row r="25" ht="15.75" spans="1:17">
      <c r="A25" s="5">
        <v>23</v>
      </c>
      <c r="B25" s="16"/>
      <c r="C25" s="109" t="s">
        <v>127</v>
      </c>
      <c r="D25" s="97" t="s">
        <v>128</v>
      </c>
      <c r="E25" s="19"/>
      <c r="F25" s="97" t="s">
        <v>129</v>
      </c>
      <c r="G25" s="15" t="s">
        <v>130</v>
      </c>
      <c r="H25" s="20" t="s">
        <v>24</v>
      </c>
      <c r="I25" s="20" t="s">
        <v>24</v>
      </c>
      <c r="J25" s="19">
        <v>1</v>
      </c>
      <c r="K25" s="15">
        <f t="shared" si="0"/>
        <v>5</v>
      </c>
      <c r="L25" s="60" t="s">
        <v>26</v>
      </c>
      <c r="M25" s="53">
        <v>1.56</v>
      </c>
      <c r="N25" s="51">
        <f t="shared" si="1"/>
        <v>1.56</v>
      </c>
      <c r="O25" s="54">
        <v>1.56</v>
      </c>
      <c r="P25" s="51">
        <f t="shared" si="2"/>
        <v>7.8</v>
      </c>
      <c r="Q25" s="86"/>
    </row>
    <row r="26" ht="15.75" spans="1:17">
      <c r="A26" s="5">
        <v>24</v>
      </c>
      <c r="B26" s="40" t="s">
        <v>131</v>
      </c>
      <c r="C26" s="101" t="s">
        <v>132</v>
      </c>
      <c r="D26" s="92" t="s">
        <v>133</v>
      </c>
      <c r="E26" s="26" t="s">
        <v>65</v>
      </c>
      <c r="F26" s="92" t="s">
        <v>134</v>
      </c>
      <c r="G26" s="10" t="s">
        <v>135</v>
      </c>
      <c r="H26" s="10" t="s">
        <v>24</v>
      </c>
      <c r="I26" s="10" t="s">
        <v>24</v>
      </c>
      <c r="J26" s="8">
        <v>1</v>
      </c>
      <c r="K26" s="10">
        <f t="shared" si="0"/>
        <v>5</v>
      </c>
      <c r="L26" s="59" t="s">
        <v>26</v>
      </c>
      <c r="M26" s="47">
        <v>0.45</v>
      </c>
      <c r="N26" s="48">
        <f t="shared" si="1"/>
        <v>0.45</v>
      </c>
      <c r="O26" s="48">
        <v>0.45</v>
      </c>
      <c r="P26" s="48">
        <f t="shared" si="2"/>
        <v>2.25</v>
      </c>
      <c r="Q26" s="87"/>
    </row>
    <row r="27" ht="15.75" spans="1:17">
      <c r="A27" s="5">
        <v>25</v>
      </c>
      <c r="B27" s="41"/>
      <c r="C27" s="12" t="s">
        <v>136</v>
      </c>
      <c r="D27" s="110" t="s">
        <v>137</v>
      </c>
      <c r="E27" s="42" t="s">
        <v>65</v>
      </c>
      <c r="F27" s="110" t="s">
        <v>138</v>
      </c>
      <c r="G27" s="15" t="s">
        <v>139</v>
      </c>
      <c r="H27" s="15" t="s">
        <v>24</v>
      </c>
      <c r="I27" s="15" t="s">
        <v>24</v>
      </c>
      <c r="J27" s="13">
        <v>1</v>
      </c>
      <c r="K27" s="15">
        <f t="shared" si="0"/>
        <v>5</v>
      </c>
      <c r="L27" s="60" t="s">
        <v>26</v>
      </c>
      <c r="M27" s="50">
        <v>0.15</v>
      </c>
      <c r="N27" s="51">
        <f t="shared" si="1"/>
        <v>0.15</v>
      </c>
      <c r="O27" s="51">
        <v>0.15</v>
      </c>
      <c r="P27" s="51">
        <f t="shared" si="2"/>
        <v>0.75</v>
      </c>
      <c r="Q27" s="85"/>
    </row>
    <row r="28" ht="16.5" spans="1:17">
      <c r="A28" s="5">
        <v>26</v>
      </c>
      <c r="B28" s="41"/>
      <c r="C28" s="93" t="s">
        <v>140</v>
      </c>
      <c r="D28" s="110" t="s">
        <v>141</v>
      </c>
      <c r="E28" s="110" t="s">
        <v>142</v>
      </c>
      <c r="F28" s="110" t="s">
        <v>142</v>
      </c>
      <c r="G28" s="15" t="s">
        <v>24</v>
      </c>
      <c r="H28" s="15" t="s">
        <v>24</v>
      </c>
      <c r="I28" s="15" t="s">
        <v>24</v>
      </c>
      <c r="J28" s="13">
        <v>1</v>
      </c>
      <c r="K28" s="15">
        <f t="shared" si="0"/>
        <v>5</v>
      </c>
      <c r="L28" s="60" t="s">
        <v>24</v>
      </c>
      <c r="M28" s="50" t="s">
        <v>24</v>
      </c>
      <c r="N28" s="51" t="s">
        <v>24</v>
      </c>
      <c r="O28" s="51" t="s">
        <v>24</v>
      </c>
      <c r="P28" s="51" t="s">
        <v>24</v>
      </c>
      <c r="Q28" s="88" t="s">
        <v>143</v>
      </c>
    </row>
    <row r="29" ht="26.25" spans="1:17">
      <c r="A29" s="5">
        <v>27</v>
      </c>
      <c r="B29" s="43"/>
      <c r="C29" s="111" t="s">
        <v>144</v>
      </c>
      <c r="D29" s="97" t="s">
        <v>145</v>
      </c>
      <c r="E29" s="19" t="s">
        <v>65</v>
      </c>
      <c r="F29" s="97" t="s">
        <v>146</v>
      </c>
      <c r="G29" s="20" t="s">
        <v>24</v>
      </c>
      <c r="H29" s="20" t="s">
        <v>24</v>
      </c>
      <c r="I29" s="20" t="s">
        <v>24</v>
      </c>
      <c r="J29" s="18">
        <v>5</v>
      </c>
      <c r="K29" s="20">
        <f t="shared" si="0"/>
        <v>25</v>
      </c>
      <c r="L29" s="68" t="s">
        <v>24</v>
      </c>
      <c r="M29" s="53" t="s">
        <v>24</v>
      </c>
      <c r="N29" s="54" t="s">
        <v>24</v>
      </c>
      <c r="O29" s="54" t="s">
        <v>24</v>
      </c>
      <c r="P29" s="54" t="s">
        <v>24</v>
      </c>
      <c r="Q29" s="89" t="s">
        <v>143</v>
      </c>
    </row>
    <row r="30" ht="19.5" spans="10:16">
      <c r="J30" s="69" t="s">
        <v>147</v>
      </c>
      <c r="K30" s="69"/>
      <c r="L30" s="69"/>
      <c r="M30" s="69"/>
      <c r="N30" s="70">
        <f>SUM(N3:N29)</f>
        <v>16.42</v>
      </c>
      <c r="O30" s="71"/>
      <c r="P30" s="70">
        <f>SUM(P3:P29)</f>
        <v>74.12</v>
      </c>
    </row>
    <row r="31" ht="18.75" spans="10:16">
      <c r="J31" s="72" t="s">
        <v>148</v>
      </c>
      <c r="K31" s="72"/>
      <c r="L31" s="72"/>
      <c r="M31" s="72"/>
      <c r="N31" s="73">
        <f>SUM(N3:N29)</f>
        <v>16.42</v>
      </c>
      <c r="O31" s="71"/>
      <c r="P31" s="73">
        <f>P30/5</f>
        <v>14.824</v>
      </c>
    </row>
  </sheetData>
  <mergeCells count="8">
    <mergeCell ref="A1:Q1"/>
    <mergeCell ref="J30:M30"/>
    <mergeCell ref="J31:M31"/>
    <mergeCell ref="B3:B5"/>
    <mergeCell ref="B7:B9"/>
    <mergeCell ref="B10:B19"/>
    <mergeCell ref="B22:B25"/>
    <mergeCell ref="B26:B29"/>
  </mergeCells>
  <conditionalFormatting sqref="N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{5531d9cc-373e-4430-9b56-53c028c0ed86}</x14:id>
        </ext>
      </extLst>
    </cfRule>
  </conditionalFormatting>
  <conditionalFormatting sqref="P2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{e13c99bd-6e4c-45e0-a140-10d1cf3d8422}</x14:id>
        </ext>
      </extLst>
    </cfRule>
  </conditionalFormatting>
  <conditionalFormatting sqref="N3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{01ed0170-f35d-4b94-844c-071310192f3a}</x14:id>
        </ext>
      </extLst>
    </cfRule>
  </conditionalFormatting>
  <conditionalFormatting sqref="P3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{968ed1b8-c4b8-4b42-b73f-d2978f9f5dd4}</x14:id>
        </ext>
      </extLst>
    </cfRule>
  </conditionalFormatting>
  <conditionalFormatting sqref="K3:K2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27 N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{b5984c29-9dc6-44ee-a3e7-246ec6bea848}</x14:id>
        </ext>
      </extLst>
    </cfRule>
  </conditionalFormatting>
  <conditionalFormatting sqref="P3:P27 P29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{9b316b94-e7d6-438b-bd62-c23c9f14363c}</x14:id>
        </ext>
      </extLst>
    </cfRule>
  </conditionalFormatting>
  <conditionalFormatting sqref="Q14:Q20 Q22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{282cc97a-558b-4870-917c-cd43f2b170f2}</x14:id>
        </ext>
      </extLst>
    </cfRule>
  </conditionalFormatting>
  <hyperlinks>
    <hyperlink ref="L3" r:id="rId1" display="Digikey"/>
    <hyperlink ref="L5" r:id="rId2" display="Digikey"/>
    <hyperlink ref="L6" r:id="rId3" display="Digikey"/>
    <hyperlink ref="L7" r:id="rId4" display="Digikey"/>
    <hyperlink ref="L10" r:id="rId5" display="Digikey"/>
    <hyperlink ref="L11" r:id="rId6" display="Digikey"/>
    <hyperlink ref="L12" r:id="rId7" display="Digikey"/>
    <hyperlink ref="L13" r:id="rId8" display="Digikey"/>
    <hyperlink ref="L14" r:id="rId9" display="Digikey"/>
    <hyperlink ref="L21" r:id="rId10" display="Digikey"/>
    <hyperlink ref="L22" r:id="rId11" display="Digikey"/>
    <hyperlink ref="L23" r:id="rId12" display="Digikey"/>
    <hyperlink ref="L24" r:id="rId13" display="Digikey"/>
    <hyperlink ref="L26" r:id="rId14" display="Digikey"/>
    <hyperlink ref="L27" r:id="rId15" display="Digikey"/>
    <hyperlink ref="L4" r:id="rId16" display="Digikey"/>
    <hyperlink ref="L8" r:id="rId17" display="Digikey"/>
    <hyperlink ref="L9" r:id="rId18" display="Digikey"/>
    <hyperlink ref="L15" r:id="rId19" display="Digikey"/>
    <hyperlink ref="L16" r:id="rId20" display="Digikey"/>
    <hyperlink ref="L17" r:id="rId21" display="Digikey"/>
    <hyperlink ref="L18" r:id="rId22" display="Digikey"/>
    <hyperlink ref="L19" r:id="rId23" display="Digikey"/>
    <hyperlink ref="L25" r:id="rId24" display="Digikey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31d9cc-373e-4430-9b56-53c028c0ed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N28</xm:sqref>
        </x14:conditionalFormatting>
        <x14:conditionalFormatting xmlns:xm="http://schemas.microsoft.com/office/excel/2006/main">
          <x14:cfRule type="dataBar" id="{e13c99bd-6e4c-45e0-a140-10d1cf3d84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01ed0170-f35d-4b94-844c-071310192f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N31</xm:sqref>
        </x14:conditionalFormatting>
        <x14:conditionalFormatting xmlns:xm="http://schemas.microsoft.com/office/excel/2006/main">
          <x14:cfRule type="dataBar" id="{968ed1b8-c4b8-4b42-b73f-d2978f9f5d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b5984c29-9dc6-44ee-a3e7-246ec6bea8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N3:N27 N29</xm:sqref>
        </x14:conditionalFormatting>
        <x14:conditionalFormatting xmlns:xm="http://schemas.microsoft.com/office/excel/2006/main">
          <x14:cfRule type="dataBar" id="{9b316b94-e7d6-438b-bd62-c23c9f1436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P3:P27 P29</xm:sqref>
        </x14:conditionalFormatting>
        <x14:conditionalFormatting xmlns:xm="http://schemas.microsoft.com/office/excel/2006/main">
          <x14:cfRule type="dataBar" id="{282cc97a-558b-4870-917c-cd43f2b170f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Q14:Q20 Q22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eSpark-35</cp:lastModifiedBy>
  <dcterms:created xsi:type="dcterms:W3CDTF">2021-03-12T10:24:00Z</dcterms:created>
  <dcterms:modified xsi:type="dcterms:W3CDTF">2021-09-21T14:45:44Z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7CF4C7291B1144E999C371CA94B01FC7</vt:lpwstr>
  </property>
  <property fmtid="{D5CDD505-2E9C-101B-9397-08002B2CF9AE}" pid="3" name="KSOProductBuildVer">
    <vt:lpwstr>1033-11.2.0.10265</vt:lpwstr>
  </property>
</Properties>
</file>