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<sst xmlns="http://schemas.openxmlformats.org/spreadsheetml/2006/main" count="181" uniqueCount="114">
  <si>
    <t>Bill of Material (BOM) for  George (Rack Monitor)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</si>
  <si>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</si>
  <si>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</si>
  <si>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</si>
  <si>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</si>
  <si>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</si>
  <si>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</si>
  <si>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</si>
  <si>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</si>
  <si>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</si>
  <si>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</si>
  <si>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</si>
  <si>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Link</t>
  </si>
  <si>
    <t>Unit Cost(1)</t>
  </si>
  <si>
    <t>Total Cost(1)</t>
  </si>
  <si>
    <t>Unit Cost (5 Boards)</t>
  </si>
  <si>
    <t>Total Cost (5)</t>
  </si>
  <si>
    <t>Remarks</t>
  </si>
  <si>
    <t>Capacitors</t>
  </si>
  <si>
    <t xml:space="preserve">CAP CER 0.1UF 50V X7R 0603
</t>
  </si>
  <si>
    <t>C1, C2, C3, C4</t>
  </si>
  <si>
    <t>CAP-0603</t>
  </si>
  <si>
    <t>CL10B104KB8NNNL</t>
  </si>
  <si>
    <t xml:space="preserve">Samsung 
</t>
  </si>
  <si>
    <t>-</t>
  </si>
  <si>
    <t>0.1uF</t>
  </si>
  <si>
    <t>Digikey</t>
  </si>
  <si>
    <t xml:space="preserve">CAP CER 1UF 25V X5R 0603
</t>
  </si>
  <si>
    <t>C5, C6</t>
  </si>
  <si>
    <t>CL10A105KA8NNNC</t>
  </si>
  <si>
    <t>1uF</t>
  </si>
  <si>
    <t>LED</t>
  </si>
  <si>
    <t>LED GREEN CLEAR CHIP SMD</t>
  </si>
  <si>
    <t>D1, D2, D3, D4</t>
  </si>
  <si>
    <t>LED 0402</t>
  </si>
  <si>
    <t>XZVG68W-2</t>
  </si>
  <si>
    <t>SunLED</t>
  </si>
  <si>
    <t>Mosfet</t>
  </si>
  <si>
    <t>MOSFET N-Channel 60V 0.115A SOT523</t>
  </si>
  <si>
    <t>Q1</t>
  </si>
  <si>
    <t>SOT-523</t>
  </si>
  <si>
    <t>2N7002T-7-F</t>
  </si>
  <si>
    <t xml:space="preserve">Diodes 
</t>
  </si>
  <si>
    <t>Resistors</t>
  </si>
  <si>
    <t xml:space="preserve">RES SMD 10K OHM 5% 1/5W 0603
</t>
  </si>
  <si>
    <t>R4, R5, R6, R8, R11</t>
  </si>
  <si>
    <t>RES-0603</t>
  </si>
  <si>
    <t>CRGH0603J10K</t>
  </si>
  <si>
    <t>TE Connectivity</t>
  </si>
  <si>
    <t>10K</t>
  </si>
  <si>
    <t>TRIMMER 10K OHM 0.1W J LEAD TOP</t>
  </si>
  <si>
    <t>R7</t>
  </si>
  <si>
    <t>Custom</t>
  </si>
  <si>
    <t>TC33X-2-103E</t>
  </si>
  <si>
    <t xml:space="preserve">Bourns Inc.
</t>
  </si>
  <si>
    <t>RES SMD 4.7K OHM 1% 1/10W 0603</t>
  </si>
  <si>
    <t>R9</t>
  </si>
  <si>
    <t>RC0603FR-074K7L</t>
  </si>
  <si>
    <t>YAGEO</t>
  </si>
  <si>
    <t>4.7K</t>
  </si>
  <si>
    <t xml:space="preserve">RES 470K OHM 1% 1/10W 0603
</t>
  </si>
  <si>
    <t>R10</t>
  </si>
  <si>
    <t>RC0603FR-13470KL</t>
  </si>
  <si>
    <t>470K</t>
  </si>
  <si>
    <t xml:space="preserve">RES SMD 560 OHM 1% 1/10W 0603
</t>
  </si>
  <si>
    <t>R12, R13, R14</t>
  </si>
  <si>
    <t>RC0603FR-07560RL</t>
  </si>
  <si>
    <t>560R</t>
  </si>
  <si>
    <t>Sensor</t>
  </si>
  <si>
    <t>Vibration sensor</t>
  </si>
  <si>
    <t>S1</t>
  </si>
  <si>
    <t>SW-420</t>
  </si>
  <si>
    <t>Switch</t>
  </si>
  <si>
    <t>SWITCH TACTILE SPST-NO 0.05A 12V</t>
  </si>
  <si>
    <t>SW1, SW2</t>
  </si>
  <si>
    <t>B3U-1000P</t>
  </si>
  <si>
    <t xml:space="preserve">Omron </t>
  </si>
  <si>
    <t>IC</t>
  </si>
  <si>
    <t>RX TXRX MOD WIFI TRACE ANT SMD</t>
  </si>
  <si>
    <t>U1</t>
  </si>
  <si>
    <t>ESP32-WROOM-32D (8MB)</t>
  </si>
  <si>
    <t xml:space="preserve">Espressif Systems
</t>
  </si>
  <si>
    <t>IC ADC 12BIT SIGMA-DELTA 10VSSOP</t>
  </si>
  <si>
    <t>U2</t>
  </si>
  <si>
    <t xml:space="preserve">10-VSSOP
</t>
  </si>
  <si>
    <t>ADS1013IDGST</t>
  </si>
  <si>
    <t xml:space="preserve">Texas Instruments
</t>
  </si>
  <si>
    <t xml:space="preserve">IC COMP DUAL VOLT LP 8SOIC
</t>
  </si>
  <si>
    <t>U3</t>
  </si>
  <si>
    <t>8-SOIC</t>
  </si>
  <si>
    <t>LM393ADT</t>
  </si>
  <si>
    <t>STMicroelectronics</t>
  </si>
  <si>
    <t xml:space="preserve">IC REG LINEAR 3.3V 1A 6DFN
</t>
  </si>
  <si>
    <t>U4</t>
  </si>
  <si>
    <t>6-DFN (3x3)</t>
  </si>
  <si>
    <t>NCP692MN33T2G</t>
  </si>
  <si>
    <t>onsemi</t>
  </si>
  <si>
    <t>Connector</t>
  </si>
  <si>
    <t>CONN RCPT USB2.0 MICRO B SMD R/A</t>
  </si>
  <si>
    <t>J1</t>
  </si>
  <si>
    <t>10118194-0001LF</t>
  </si>
  <si>
    <t xml:space="preserve">Amphenol </t>
  </si>
  <si>
    <t xml:space="preserve">CONN HEADER VERT 2POS 2.5MM
</t>
  </si>
  <si>
    <t>J2</t>
  </si>
  <si>
    <t>B2B-XH-A(LF)(SN)</t>
  </si>
  <si>
    <t xml:space="preserve">JST Sales America
</t>
  </si>
  <si>
    <t>CONN HEADER VERT 4POS 2.5MM</t>
  </si>
  <si>
    <t>J3</t>
  </si>
  <si>
    <t>B4B-XH-A(LF)(SN)</t>
  </si>
  <si>
    <t>Test Point ON</t>
  </si>
  <si>
    <t>P1, P2, P3, P4, P5</t>
  </si>
  <si>
    <t>TEST POINT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</si>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</sst>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&quot;$&quot;#,##0.00000"/>
    <numFmt numFmtId="178" formatCode="_ * #,##0_ ;_ * \-#,##0_ ;_ * &quot;-&quot;_ ;_ @_ "/>
    <numFmt numFmtId="42" formatCode="_(&quot;$&quot;* #,##0_);_(&quot;$&quot;* \(#,##0\);_(&quot;$&quot;* &quot;-&quot;_);_(@_)"/>
    <numFmt numFmtId="179" formatCode="_-[$$-409]* #,##0.00_ ;_-[$$-409]* \-#,##0.00\ ;_-[$$-409]* &quot;-&quot;??_ ;_-@_ "/>
  </numFmts>
  <fonts count="3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u/>
      <sz val="10"/>
      <color theme="10"/>
      <name val="Calibri"/>
      <charset val="134"/>
    </font>
    <font>
      <sz val="14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0"/>
      <color theme="1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0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41" applyNumberFormat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0" fillId="6" borderId="4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0" borderId="40" applyNumberFormat="0" applyFill="0" applyAlignment="0" applyProtection="0">
      <alignment vertical="center"/>
    </xf>
    <xf numFmtId="0" fontId="21" fillId="0" borderId="4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4" borderId="39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5" fillId="17" borderId="0" applyNumberFormat="0" applyBorder="0" applyAlignment="0" applyProtection="0"/>
    <xf numFmtId="0" fontId="24" fillId="13" borderId="43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2" fillId="13" borderId="39" applyNumberFormat="0" applyAlignment="0" applyProtection="0">
      <alignment vertical="center"/>
    </xf>
    <xf numFmtId="0" fontId="27" fillId="0" borderId="45" applyNumberFormat="0" applyFill="0" applyAlignment="0" applyProtection="0">
      <alignment vertical="center"/>
    </xf>
    <xf numFmtId="0" fontId="28" fillId="0" borderId="46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vertical="center"/>
    </xf>
    <xf numFmtId="0" fontId="5" fillId="3" borderId="1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0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7" fillId="3" borderId="8" xfId="7" applyFont="1" applyFill="1" applyBorder="1" applyAlignment="1" applyProtection="1">
      <alignment horizontal="center" vertical="center"/>
    </xf>
    <xf numFmtId="177" fontId="5" fillId="3" borderId="8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8" fillId="3" borderId="11" xfId="7" applyFont="1" applyFill="1" applyBorder="1" applyAlignment="1" applyProtection="1">
      <alignment horizontal="center" vertical="center"/>
    </xf>
    <xf numFmtId="177" fontId="5" fillId="3" borderId="11" xfId="0" applyNumberFormat="1" applyFont="1" applyFill="1" applyBorder="1" applyAlignment="1">
      <alignment horizontal="center" vertical="center"/>
    </xf>
    <xf numFmtId="177" fontId="4" fillId="3" borderId="23" xfId="0" applyNumberFormat="1" applyFont="1" applyFill="1" applyBorder="1" applyAlignment="1">
      <alignment horizontal="center" vertical="center"/>
    </xf>
    <xf numFmtId="0" fontId="8" fillId="3" borderId="14" xfId="7" applyFont="1" applyFill="1" applyBorder="1" applyAlignment="1" applyProtection="1">
      <alignment horizontal="center" vertical="center"/>
    </xf>
    <xf numFmtId="177" fontId="5" fillId="3" borderId="14" xfId="0" applyNumberFormat="1" applyFont="1" applyFill="1" applyBorder="1" applyAlignment="1">
      <alignment horizontal="center" vertical="center"/>
    </xf>
    <xf numFmtId="177" fontId="4" fillId="3" borderId="14" xfId="0" applyNumberFormat="1" applyFont="1" applyFill="1" applyBorder="1" applyAlignment="1">
      <alignment horizontal="center" vertical="center"/>
    </xf>
    <xf numFmtId="0" fontId="8" fillId="3" borderId="16" xfId="7" applyFont="1" applyFill="1" applyBorder="1" applyAlignment="1" applyProtection="1">
      <alignment horizontal="center" vertical="center"/>
    </xf>
    <xf numFmtId="177" fontId="5" fillId="3" borderId="16" xfId="0" applyNumberFormat="1" applyFont="1" applyFill="1" applyBorder="1" applyAlignment="1">
      <alignment horizontal="center" vertical="center"/>
    </xf>
    <xf numFmtId="177" fontId="4" fillId="3" borderId="16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0" fontId="8" fillId="3" borderId="8" xfId="7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/>
    </xf>
    <xf numFmtId="0" fontId="8" fillId="3" borderId="18" xfId="7" applyFont="1" applyFill="1" applyBorder="1" applyAlignment="1" applyProtection="1">
      <alignment horizontal="center" vertical="center"/>
    </xf>
    <xf numFmtId="177" fontId="5" fillId="3" borderId="18" xfId="0" applyNumberFormat="1" applyFont="1" applyFill="1" applyBorder="1" applyAlignment="1">
      <alignment horizontal="center" vertical="center"/>
    </xf>
    <xf numFmtId="177" fontId="4" fillId="3" borderId="27" xfId="0" applyNumberFormat="1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wrapText="1"/>
    </xf>
    <xf numFmtId="177" fontId="4" fillId="3" borderId="11" xfId="0" applyNumberFormat="1" applyFont="1" applyFill="1" applyBorder="1" applyAlignment="1">
      <alignment horizontal="center" vertical="center"/>
    </xf>
    <xf numFmtId="177" fontId="4" fillId="3" borderId="18" xfId="0" applyNumberFormat="1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9" fillId="3" borderId="32" xfId="0" applyFont="1" applyFill="1" applyBorder="1" applyAlignment="1">
      <alignment horizontal="center"/>
    </xf>
    <xf numFmtId="179" fontId="9" fillId="3" borderId="0" xfId="0" applyNumberFormat="1" applyFont="1" applyFill="1" applyAlignment="1"/>
    <xf numFmtId="179" fontId="9" fillId="3" borderId="0" xfId="0" applyNumberFormat="1" applyFont="1" applyFill="1" applyBorder="1" applyAlignment="1"/>
    <xf numFmtId="0" fontId="9" fillId="3" borderId="2" xfId="0" applyFont="1" applyFill="1" applyBorder="1" applyAlignment="1">
      <alignment horizontal="center"/>
    </xf>
    <xf numFmtId="179" fontId="9" fillId="3" borderId="2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 vertical="center"/>
    </xf>
    <xf numFmtId="177" fontId="5" fillId="3" borderId="34" xfId="0" applyNumberFormat="1" applyFont="1" applyFill="1" applyBorder="1" applyAlignment="1">
      <alignment horizontal="left" vertical="center"/>
    </xf>
    <xf numFmtId="177" fontId="5" fillId="3" borderId="35" xfId="0" applyNumberFormat="1" applyFont="1" applyFill="1" applyBorder="1" applyAlignment="1">
      <alignment horizontal="left" vertical="center"/>
    </xf>
    <xf numFmtId="177" fontId="5" fillId="3" borderId="36" xfId="0" applyNumberFormat="1" applyFont="1" applyFill="1" applyBorder="1" applyAlignment="1">
      <alignment horizontal="left" vertical="center"/>
    </xf>
    <xf numFmtId="177" fontId="5" fillId="3" borderId="37" xfId="0" applyNumberFormat="1" applyFont="1" applyFill="1" applyBorder="1" applyAlignment="1">
      <alignment horizontal="left" vertical="center"/>
    </xf>
    <xf numFmtId="177" fontId="5" fillId="3" borderId="38" xfId="0" applyNumberFormat="1" applyFont="1" applyFill="1" applyBorder="1" applyAlignment="1">
      <alignment horizontal="left" vertical="center"/>
    </xf>
    <xf numFmtId="177" fontId="4" fillId="3" borderId="35" xfId="0" applyNumberFormat="1" applyFont="1" applyFill="1" applyBorder="1" applyAlignment="1">
      <alignment horizontal="center" vertical="center"/>
    </xf>
    <xf numFmtId="177" fontId="4" fillId="3" borderId="37" xfId="0" applyNumberFormat="1" applyFont="1" applyFill="1" applyBorder="1" applyAlignment="1">
      <alignment horizontal="center" vertical="center"/>
    </xf>
    <xf numFmtId="177" fontId="5" fillId="3" borderId="37" xfId="0" applyNumberFormat="1" applyFont="1" applyFill="1" applyBorder="1" applyAlignment="1">
      <alignment horizontal="left" vertical="center" wrapText="1" indent="1"/>
    </xf>
    <xf numFmtId="179" fontId="10" fillId="3" borderId="34" xfId="0" applyNumberFormat="1" applyFont="1" applyFill="1" applyBorder="1" applyAlignment="1">
      <alignment horizontal="center" vertical="center"/>
    </xf>
    <xf numFmtId="179" fontId="11" fillId="3" borderId="38" xfId="0" applyNumberFormat="1" applyFont="1" applyFill="1" applyBorder="1" applyAlignment="1"/>
    <xf numFmtId="0" fontId="4" fillId="0" borderId="35" xfId="0" applyFont="1" applyBorder="1"/>
    <xf numFmtId="0" fontId="4" fillId="0" borderId="34" xfId="0" applyFont="1" applyBorder="1"/>
    <xf numFmtId="0" fontId="4" fillId="0" borderId="38" xfId="0" applyFont="1" applyBorder="1"/>
    <xf numFmtId="0" fontId="4" fillId="0" borderId="8" xfId="0" applyFont="1" applyFill="1" applyBorder="1" applyAlignment="1" quotePrefix="1">
      <alignment horizontal="center" vertical="center"/>
    </xf>
    <xf numFmtId="0" fontId="4" fillId="0" borderId="21" xfId="0" applyFont="1" applyFill="1" applyBorder="1" applyAlignment="1" quotePrefix="1">
      <alignment horizontal="center" vertical="center" wrapText="1"/>
    </xf>
    <xf numFmtId="0" fontId="4" fillId="0" borderId="11" xfId="0" applyFont="1" applyFill="1" applyBorder="1" applyAlignment="1" quotePrefix="1">
      <alignment horizontal="center" vertical="center" wrapText="1"/>
    </xf>
    <xf numFmtId="0" fontId="4" fillId="0" borderId="22" xfId="0" applyFont="1" applyFill="1" applyBorder="1" applyAlignment="1" quotePrefix="1">
      <alignment horizontal="center" vertical="center" wrapText="1"/>
    </xf>
    <xf numFmtId="0" fontId="4" fillId="0" borderId="13" xfId="0" applyFont="1" applyFill="1" applyBorder="1" applyAlignment="1" quotePrefix="1">
      <alignment vertical="center" wrapText="1"/>
    </xf>
    <xf numFmtId="0" fontId="4" fillId="0" borderId="14" xfId="0" applyFont="1" applyFill="1" applyBorder="1" applyAlignment="1" quotePrefix="1">
      <alignment horizontal="center" vertical="center" wrapText="1"/>
    </xf>
    <xf numFmtId="0" fontId="4" fillId="0" borderId="15" xfId="0" applyFont="1" applyFill="1" applyBorder="1" applyAlignment="1" quotePrefix="1">
      <alignment vertical="center" wrapText="1"/>
    </xf>
    <xf numFmtId="0" fontId="4" fillId="0" borderId="16" xfId="0" applyFont="1" applyFill="1" applyBorder="1" applyAlignment="1" quotePrefix="1">
      <alignment horizontal="center" vertical="center" wrapText="1"/>
    </xf>
    <xf numFmtId="0" fontId="4" fillId="0" borderId="8" xfId="0" applyFont="1" applyFill="1" applyBorder="1" applyAlignment="1" quotePrefix="1">
      <alignment horizontal="center" vertical="center" wrapText="1"/>
    </xf>
    <xf numFmtId="0" fontId="4" fillId="0" borderId="17" xfId="0" applyFont="1" applyFill="1" applyBorder="1" applyAlignment="1" quotePrefix="1">
      <alignment vertical="center" wrapText="1"/>
    </xf>
    <xf numFmtId="0" fontId="4" fillId="0" borderId="18" xfId="0" applyFont="1" applyFill="1" applyBorder="1" applyAlignment="1" quotePrefix="1">
      <alignment horizontal="center" vertical="center" wrapText="1"/>
    </xf>
    <xf numFmtId="0" fontId="4" fillId="0" borderId="25" xfId="0" applyFont="1" applyFill="1" applyBorder="1" applyAlignment="1" quotePrefix="1">
      <alignment horizontal="center" vertical="center" wrapText="1"/>
    </xf>
    <xf numFmtId="0" fontId="4" fillId="0" borderId="7" xfId="0" applyFont="1" applyFill="1" applyBorder="1" applyAlignment="1" quotePrefix="1">
      <alignment vertical="center" wrapText="1"/>
    </xf>
    <xf numFmtId="0" fontId="4" fillId="0" borderId="18" xfId="0" applyFont="1" applyFill="1" applyBorder="1" applyAlignment="1" quotePrefix="1">
      <alignment horizontal="center" vertical="center"/>
    </xf>
    <xf numFmtId="0" fontId="4" fillId="0" borderId="10" xfId="0" applyFont="1" applyFill="1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com/en/products/detail/yageo/RC0603FR-07560RL/727304?s=N4IgTCBcDaIEoGEAMA2JBmAYnAtEg7AKxpwAyIAugL5A" TargetMode="External"/><Relationship Id="rId8" Type="http://schemas.openxmlformats.org/officeDocument/2006/relationships/hyperlink" Target="https://www.digikey.com/en/products/detail/yageo/RC0603FR-13470KL/13694191?s=N4IgTCBcDaIEoGEAMA2JBmAYnAtARnQBYB2JAaQBkQBdAXyA" TargetMode="External"/><Relationship Id="rId7" Type="http://schemas.openxmlformats.org/officeDocument/2006/relationships/hyperlink" Target="https://www.digikey.com/en/products/detail/yageo/RC0603FR-074K7L/727212?s=N4IgTCBcDaIEoGEAMA2JBmAYnAtEg7ACwDS%2BAMiALoC%2BQA" TargetMode="External"/><Relationship Id="rId6" Type="http://schemas.openxmlformats.org/officeDocument/2006/relationships/hyperlink" Target="https://www.digikey.com/en/products/detail/bourns-inc/TC33X-2-103E/612858?s=N4IgTCBcDaICoGEDMSAaBaM6CMAGJAoiALoC%2BQA" TargetMode="External"/><Relationship Id="rId5" Type="http://schemas.openxmlformats.org/officeDocument/2006/relationships/hyperlink" Target="https://www.digikey.com/en/products/detail/te-connectivity-passive-product/CRGH0603J10K/2385379?s=N4IgTCBcDaIMICUDiAJADANjQZgFIEY0BpEAXQF8g" TargetMode="External"/><Relationship Id="rId4" Type="http://schemas.openxmlformats.org/officeDocument/2006/relationships/hyperlink" Target="https://www.digikey.com/en/products/detail/diodes-incorporated/2N7002T-7-F/814963?s=N4IgTCBcDa4HIHYAMSwBUC0CMDEQF0BfIA" TargetMode="External"/><Relationship Id="rId3" Type="http://schemas.openxmlformats.org/officeDocument/2006/relationships/hyperlink" Target="https://www.digikey.com/en/products/detail/sunled/XZVG68W-2/4745975?s=N4IgTCBcDaIBoC0BqBxAbADgOoFoIF0BfIA" TargetMode="External"/><Relationship Id="rId2" Type="http://schemas.openxmlformats.org/officeDocument/2006/relationships/hyperlink" Target="https://www.digikey.com/en/products/detail/samsung-electro-mechanics/CL10A105KA8NNNC/3886760?s=N4IgTCBcDaIMIBkCMAGAgqgrAaTQDgDki4QBdAXyA" TargetMode="External"/><Relationship Id="rId17" Type="http://schemas.openxmlformats.org/officeDocument/2006/relationships/hyperlink" Target="https://www.digikey.com/en/products/detail/jst-sales-america-inc/B4B-XH-A-LF-SN/1651047?s=N4IgTCBcDaIEIBY4FoAaAJZBBAFAGQDEBKHAZQDkiQBdAXyA" TargetMode="External"/><Relationship Id="rId16" Type="http://schemas.openxmlformats.org/officeDocument/2006/relationships/hyperlink" Target="https://www.digikey.com/en/products/detail/jst-sales-america-inc/B2B-XH-A-LF-SN/1651045" TargetMode="External"/><Relationship Id="rId15" Type="http://schemas.openxmlformats.org/officeDocument/2006/relationships/hyperlink" Target="https://www.digikey.com/en/products/detail/amphenol-icc-fci/10118194-0001LF/2785389?s=N4IgTCBcDaIIwAY5wBxwJwBYC0C9wBkAxEAXQF8g" TargetMode="External"/><Relationship Id="rId14" Type="http://schemas.openxmlformats.org/officeDocument/2006/relationships/hyperlink" Target="https://www.digikey.com/en/products/detail/onsemi/NCP692MN33T2G/2194205" TargetMode="External"/><Relationship Id="rId13" Type="http://schemas.openxmlformats.org/officeDocument/2006/relationships/hyperlink" Target="https://www.digikey.com/en/products/detail/stmicroelectronics/LM393ADT/725475" TargetMode="External"/><Relationship Id="rId12" Type="http://schemas.openxmlformats.org/officeDocument/2006/relationships/hyperlink" Target="https://www.digikey.com/en/products/detail/texas-instruments/ADS1013IDGST/2174978?s=N4IgTCBcDaIIIBEDKBGADCgzASQQcSQBUQBdAXyA" TargetMode="External"/><Relationship Id="rId11" Type="http://schemas.openxmlformats.org/officeDocument/2006/relationships/hyperlink" Target="https://www.digikey.com/en/products/detail/espressif-systems/ESP32-WROOM-32D-8MB/9381717?s=N4IgTCBcDaIKIGUAKBmMBaA6gJQPK4Fl00ARAAgAoAOAgIQEoQBdAXyA" TargetMode="External"/><Relationship Id="rId10" Type="http://schemas.openxmlformats.org/officeDocument/2006/relationships/hyperlink" Target="https://www.digikey.com/en/products/detail/omron-electronics-inc-emc-div/B3U-1000P/1534338" TargetMode="External"/><Relationship Id="rId1" Type="http://schemas.openxmlformats.org/officeDocument/2006/relationships/hyperlink" Target="https://www.digikey.com/en/products/detail/samsung-electro-mechanics/CL10B104KB8NNNL/3894274?s=N4IgTCBcDaIMIBkCMAGAQqgLAaTQDgDkiE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workbookViewId="0">
      <selection activeCell="J29" sqref="J29"/>
    </sheetView>
  </sheetViews>
  <sheetFormatPr defaultColWidth="9" defaultRowHeight="15"/>
  <cols>
    <col min="1" max="1" width="6.71428571428571" customWidth="1"/>
    <col min="2" max="2" width="13.4285714285714" customWidth="1"/>
    <col min="3" max="3" width="38.8571428571429" customWidth="1"/>
    <col min="4" max="4" width="12.8571428571429" customWidth="1"/>
    <col min="5" max="5" width="20.5714285714286" customWidth="1"/>
    <col min="6" max="6" width="28.4285714285714" customWidth="1"/>
    <col min="7" max="7" width="15.7142857142857" customWidth="1"/>
    <col min="8" max="8" width="11" customWidth="1"/>
    <col min="10" max="10" width="21.8571428571429" customWidth="1"/>
    <col min="11" max="11" width="11.4285714285714" customWidth="1"/>
    <col min="12" max="12" width="7.28571428571429" customWidth="1"/>
    <col min="13" max="13" width="12.4285714285714" customWidth="1"/>
    <col min="14" max="14" width="13.4285714285714" customWidth="1"/>
    <col min="15" max="15" width="20.5714285714286" customWidth="1"/>
    <col min="16" max="16" width="14" customWidth="1"/>
    <col min="17" max="17" width="24.7142857142857" customWidth="1"/>
  </cols>
  <sheetData>
    <row r="1" ht="16.5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2"/>
    </row>
    <row r="2" ht="16.5" spans="1:17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5" t="s">
        <v>12</v>
      </c>
      <c r="M2" s="3" t="s">
        <v>13</v>
      </c>
      <c r="N2" s="3" t="s">
        <v>14</v>
      </c>
      <c r="O2" s="3" t="s">
        <v>15</v>
      </c>
      <c r="P2" s="36" t="s">
        <v>16</v>
      </c>
      <c r="Q2" s="3" t="s">
        <v>17</v>
      </c>
    </row>
    <row r="3" spans="1:17">
      <c r="A3" s="5">
        <v>1</v>
      </c>
      <c r="B3" s="6" t="s">
        <v>18</v>
      </c>
      <c r="C3" s="7" t="s">
        <v>19</v>
      </c>
      <c r="D3" s="86" t="s">
        <v>20</v>
      </c>
      <c r="E3" s="86" t="s">
        <v>21</v>
      </c>
      <c r="F3" s="86" t="s">
        <v>22</v>
      </c>
      <c r="G3" s="9" t="s">
        <v>23</v>
      </c>
      <c r="H3" s="9" t="s">
        <v>24</v>
      </c>
      <c r="I3" s="87" t="s">
        <v>25</v>
      </c>
      <c r="J3" s="9">
        <v>4</v>
      </c>
      <c r="K3" s="9">
        <f>J3*5</f>
        <v>20</v>
      </c>
      <c r="L3" s="38" t="s">
        <v>26</v>
      </c>
      <c r="M3" s="39">
        <v>0.1</v>
      </c>
      <c r="N3" s="40">
        <f>M3*J3</f>
        <v>0.4</v>
      </c>
      <c r="O3" s="39">
        <v>0.031</v>
      </c>
      <c r="P3" s="40">
        <f>O3*K3</f>
        <v>0.62</v>
      </c>
      <c r="Q3" s="73"/>
    </row>
    <row r="4" spans="1:17">
      <c r="A4" s="10">
        <v>2</v>
      </c>
      <c r="B4" s="11"/>
      <c r="C4" s="12" t="s">
        <v>27</v>
      </c>
      <c r="D4" s="88" t="s">
        <v>28</v>
      </c>
      <c r="E4" s="88" t="s">
        <v>21</v>
      </c>
      <c r="F4" s="88" t="s">
        <v>29</v>
      </c>
      <c r="G4" s="14" t="s">
        <v>23</v>
      </c>
      <c r="H4" s="14" t="s">
        <v>24</v>
      </c>
      <c r="I4" s="89" t="s">
        <v>30</v>
      </c>
      <c r="J4" s="14">
        <v>2</v>
      </c>
      <c r="K4" s="42">
        <f t="shared" ref="K4:K21" si="0">J4*5</f>
        <v>10</v>
      </c>
      <c r="L4" s="43" t="s">
        <v>26</v>
      </c>
      <c r="M4" s="44">
        <v>0.1</v>
      </c>
      <c r="N4" s="45">
        <f t="shared" ref="N4:N21" si="1">M4*J4</f>
        <v>0.2</v>
      </c>
      <c r="O4" s="44">
        <v>0.035</v>
      </c>
      <c r="P4" s="45">
        <f t="shared" ref="P4:P21" si="2">O4*K4</f>
        <v>0.35</v>
      </c>
      <c r="Q4" s="74"/>
    </row>
    <row r="5" ht="16.5" spans="1:17">
      <c r="A5" s="10">
        <v>3</v>
      </c>
      <c r="B5" s="15" t="s">
        <v>31</v>
      </c>
      <c r="C5" s="90" t="s">
        <v>32</v>
      </c>
      <c r="D5" s="91" t="s">
        <v>33</v>
      </c>
      <c r="E5" s="91" t="s">
        <v>34</v>
      </c>
      <c r="F5" s="91" t="s">
        <v>35</v>
      </c>
      <c r="G5" s="18" t="s">
        <v>36</v>
      </c>
      <c r="H5" s="18" t="s">
        <v>24</v>
      </c>
      <c r="I5" s="18" t="s">
        <v>24</v>
      </c>
      <c r="J5" s="18">
        <v>4</v>
      </c>
      <c r="K5" s="18">
        <f t="shared" si="0"/>
        <v>20</v>
      </c>
      <c r="L5" s="46" t="s">
        <v>26</v>
      </c>
      <c r="M5" s="47">
        <v>0.37</v>
      </c>
      <c r="N5" s="48">
        <f t="shared" si="1"/>
        <v>1.48</v>
      </c>
      <c r="O5" s="47">
        <v>0.293</v>
      </c>
      <c r="P5" s="48">
        <f t="shared" si="2"/>
        <v>5.86</v>
      </c>
      <c r="Q5" s="75"/>
    </row>
    <row r="6" ht="16.5" spans="1:17">
      <c r="A6" s="10">
        <v>4</v>
      </c>
      <c r="B6" s="19" t="s">
        <v>37</v>
      </c>
      <c r="C6" s="92" t="s">
        <v>38</v>
      </c>
      <c r="D6" s="93" t="s">
        <v>39</v>
      </c>
      <c r="E6" s="93" t="s">
        <v>40</v>
      </c>
      <c r="F6" s="93" t="s">
        <v>41</v>
      </c>
      <c r="G6" s="22" t="s">
        <v>42</v>
      </c>
      <c r="H6" s="22" t="s">
        <v>24</v>
      </c>
      <c r="I6" s="22" t="s">
        <v>24</v>
      </c>
      <c r="J6" s="22">
        <v>1</v>
      </c>
      <c r="K6" s="22">
        <f t="shared" si="0"/>
        <v>5</v>
      </c>
      <c r="L6" s="49" t="s">
        <v>26</v>
      </c>
      <c r="M6" s="50">
        <v>0.44</v>
      </c>
      <c r="N6" s="51">
        <f t="shared" si="1"/>
        <v>0.44</v>
      </c>
      <c r="O6" s="50">
        <v>0.44</v>
      </c>
      <c r="P6" s="51">
        <f t="shared" si="2"/>
        <v>2.2</v>
      </c>
      <c r="Q6" s="76"/>
    </row>
    <row r="7" ht="26.25" spans="1:17">
      <c r="A7" s="10">
        <v>5</v>
      </c>
      <c r="B7" s="6" t="s">
        <v>43</v>
      </c>
      <c r="C7" s="7" t="s">
        <v>44</v>
      </c>
      <c r="D7" s="94" t="s">
        <v>45</v>
      </c>
      <c r="E7" s="94" t="s">
        <v>46</v>
      </c>
      <c r="F7" s="94" t="s">
        <v>47</v>
      </c>
      <c r="G7" s="9" t="s">
        <v>48</v>
      </c>
      <c r="H7" s="9" t="s">
        <v>24</v>
      </c>
      <c r="I7" s="87" t="s">
        <v>49</v>
      </c>
      <c r="J7" s="52">
        <v>5</v>
      </c>
      <c r="K7" s="9">
        <f t="shared" si="0"/>
        <v>25</v>
      </c>
      <c r="L7" s="53" t="s">
        <v>26</v>
      </c>
      <c r="M7" s="39">
        <v>0.1</v>
      </c>
      <c r="N7" s="40">
        <f t="shared" si="1"/>
        <v>0.5</v>
      </c>
      <c r="O7" s="39">
        <v>0.058</v>
      </c>
      <c r="P7" s="40">
        <f t="shared" si="2"/>
        <v>1.45</v>
      </c>
      <c r="Q7" s="73"/>
    </row>
    <row r="8" ht="15.75" spans="1:17">
      <c r="A8" s="10">
        <v>6</v>
      </c>
      <c r="B8" s="15"/>
      <c r="C8" s="95" t="s">
        <v>50</v>
      </c>
      <c r="D8" s="96" t="s">
        <v>51</v>
      </c>
      <c r="E8" s="25" t="s">
        <v>52</v>
      </c>
      <c r="F8" s="96" t="s">
        <v>53</v>
      </c>
      <c r="G8" s="26" t="s">
        <v>54</v>
      </c>
      <c r="H8" s="26" t="s">
        <v>24</v>
      </c>
      <c r="I8" s="97" t="s">
        <v>49</v>
      </c>
      <c r="J8" s="55">
        <v>1</v>
      </c>
      <c r="K8" s="56">
        <f t="shared" si="0"/>
        <v>5</v>
      </c>
      <c r="L8" s="57" t="s">
        <v>26</v>
      </c>
      <c r="M8" s="58">
        <v>0.26</v>
      </c>
      <c r="N8" s="59">
        <f t="shared" si="1"/>
        <v>0.26</v>
      </c>
      <c r="O8" s="58">
        <v>0.26</v>
      </c>
      <c r="P8" s="59">
        <f t="shared" si="2"/>
        <v>1.3</v>
      </c>
      <c r="Q8" s="77"/>
    </row>
    <row r="9" ht="15.75" spans="1:17">
      <c r="A9" s="10">
        <v>7</v>
      </c>
      <c r="B9" s="15"/>
      <c r="C9" s="95" t="s">
        <v>55</v>
      </c>
      <c r="D9" s="96" t="s">
        <v>56</v>
      </c>
      <c r="E9" s="96" t="s">
        <v>46</v>
      </c>
      <c r="F9" s="96" t="s">
        <v>57</v>
      </c>
      <c r="G9" s="26" t="s">
        <v>58</v>
      </c>
      <c r="H9" s="26" t="s">
        <v>24</v>
      </c>
      <c r="I9" s="97" t="s">
        <v>59</v>
      </c>
      <c r="J9" s="55">
        <v>1</v>
      </c>
      <c r="K9" s="56">
        <f t="shared" si="0"/>
        <v>5</v>
      </c>
      <c r="L9" s="57" t="s">
        <v>26</v>
      </c>
      <c r="M9" s="58">
        <v>0.1</v>
      </c>
      <c r="N9" s="59">
        <f t="shared" si="1"/>
        <v>0.1</v>
      </c>
      <c r="O9" s="58">
        <v>0.1</v>
      </c>
      <c r="P9" s="59">
        <f t="shared" si="2"/>
        <v>0.5</v>
      </c>
      <c r="Q9" s="77"/>
    </row>
    <row r="10" ht="15.75" spans="1:17">
      <c r="A10" s="10">
        <v>8</v>
      </c>
      <c r="B10" s="15"/>
      <c r="C10" s="27" t="s">
        <v>60</v>
      </c>
      <c r="D10" s="96" t="s">
        <v>61</v>
      </c>
      <c r="E10" s="96" t="s">
        <v>46</v>
      </c>
      <c r="F10" s="96" t="s">
        <v>62</v>
      </c>
      <c r="G10" s="26" t="s">
        <v>58</v>
      </c>
      <c r="H10" s="28" t="s">
        <v>24</v>
      </c>
      <c r="I10" s="97" t="s">
        <v>63</v>
      </c>
      <c r="J10" s="55">
        <v>1</v>
      </c>
      <c r="K10" s="56">
        <f t="shared" si="0"/>
        <v>5</v>
      </c>
      <c r="L10" s="57" t="s">
        <v>26</v>
      </c>
      <c r="M10" s="58">
        <v>0.1</v>
      </c>
      <c r="N10" s="59">
        <f t="shared" si="1"/>
        <v>0.1</v>
      </c>
      <c r="O10" s="58">
        <v>0.1</v>
      </c>
      <c r="P10" s="59">
        <f t="shared" si="2"/>
        <v>0.5</v>
      </c>
      <c r="Q10" s="77"/>
    </row>
    <row r="11" ht="15.75" spans="1:17">
      <c r="A11" s="10">
        <v>9</v>
      </c>
      <c r="B11" s="11"/>
      <c r="C11" s="12" t="s">
        <v>64</v>
      </c>
      <c r="D11" s="88" t="s">
        <v>65</v>
      </c>
      <c r="E11" s="88" t="s">
        <v>46</v>
      </c>
      <c r="F11" s="88" t="s">
        <v>66</v>
      </c>
      <c r="G11" s="14" t="s">
        <v>58</v>
      </c>
      <c r="H11" s="14" t="s">
        <v>24</v>
      </c>
      <c r="I11" s="89" t="s">
        <v>67</v>
      </c>
      <c r="J11" s="60">
        <v>3</v>
      </c>
      <c r="K11" s="42">
        <f t="shared" si="0"/>
        <v>15</v>
      </c>
      <c r="L11" s="43" t="s">
        <v>26</v>
      </c>
      <c r="M11" s="61">
        <v>0.1</v>
      </c>
      <c r="N11" s="45">
        <f t="shared" si="1"/>
        <v>0.3</v>
      </c>
      <c r="O11" s="61">
        <v>0.024</v>
      </c>
      <c r="P11" s="45">
        <f t="shared" si="2"/>
        <v>0.36</v>
      </c>
      <c r="Q11" s="78"/>
    </row>
    <row r="12" ht="16.5" spans="1:17">
      <c r="A12" s="10">
        <v>10</v>
      </c>
      <c r="B12" s="19" t="s">
        <v>68</v>
      </c>
      <c r="C12" s="92" t="s">
        <v>69</v>
      </c>
      <c r="D12" s="93" t="s">
        <v>70</v>
      </c>
      <c r="E12" s="21" t="s">
        <v>52</v>
      </c>
      <c r="F12" s="93" t="s">
        <v>71</v>
      </c>
      <c r="G12" s="22"/>
      <c r="H12" s="22"/>
      <c r="I12" s="22" t="s">
        <v>24</v>
      </c>
      <c r="J12" s="22">
        <v>1</v>
      </c>
      <c r="K12" s="22">
        <f t="shared" si="0"/>
        <v>5</v>
      </c>
      <c r="L12" s="49"/>
      <c r="M12" s="51"/>
      <c r="N12" s="51">
        <f t="shared" si="1"/>
        <v>0</v>
      </c>
      <c r="O12" s="51"/>
      <c r="P12" s="51">
        <f t="shared" si="2"/>
        <v>0</v>
      </c>
      <c r="Q12" s="79"/>
    </row>
    <row r="13" ht="16.5" spans="1:17">
      <c r="A13" s="10">
        <v>11</v>
      </c>
      <c r="B13" s="19" t="s">
        <v>72</v>
      </c>
      <c r="C13" s="92" t="s">
        <v>73</v>
      </c>
      <c r="D13" s="93" t="s">
        <v>74</v>
      </c>
      <c r="E13" s="21" t="s">
        <v>52</v>
      </c>
      <c r="F13" s="93" t="s">
        <v>75</v>
      </c>
      <c r="G13" s="22" t="s">
        <v>76</v>
      </c>
      <c r="H13" s="22" t="s">
        <v>24</v>
      </c>
      <c r="I13" s="22" t="s">
        <v>24</v>
      </c>
      <c r="J13" s="22">
        <v>2</v>
      </c>
      <c r="K13" s="22">
        <f t="shared" si="0"/>
        <v>10</v>
      </c>
      <c r="L13" s="49" t="s">
        <v>26</v>
      </c>
      <c r="M13" s="50">
        <v>0.96</v>
      </c>
      <c r="N13" s="51">
        <f t="shared" si="1"/>
        <v>1.92</v>
      </c>
      <c r="O13" s="51">
        <v>0.927</v>
      </c>
      <c r="P13" s="51">
        <f t="shared" si="2"/>
        <v>9.27</v>
      </c>
      <c r="Q13" s="80"/>
    </row>
    <row r="14" ht="15.75" spans="1:17">
      <c r="A14" s="10">
        <v>12</v>
      </c>
      <c r="B14" s="6" t="s">
        <v>77</v>
      </c>
      <c r="C14" s="98" t="s">
        <v>78</v>
      </c>
      <c r="D14" s="94" t="s">
        <v>79</v>
      </c>
      <c r="E14" s="23" t="s">
        <v>52</v>
      </c>
      <c r="F14" s="94" t="s">
        <v>80</v>
      </c>
      <c r="G14" s="9" t="s">
        <v>81</v>
      </c>
      <c r="H14" s="9" t="s">
        <v>24</v>
      </c>
      <c r="I14" s="9" t="s">
        <v>24</v>
      </c>
      <c r="J14" s="52">
        <v>1</v>
      </c>
      <c r="K14" s="9">
        <f t="shared" si="0"/>
        <v>5</v>
      </c>
      <c r="L14" s="53" t="s">
        <v>26</v>
      </c>
      <c r="M14" s="39">
        <v>4.35</v>
      </c>
      <c r="N14" s="40">
        <f t="shared" si="1"/>
        <v>4.35</v>
      </c>
      <c r="O14" s="40">
        <v>4.35</v>
      </c>
      <c r="P14" s="40">
        <f t="shared" si="2"/>
        <v>21.75</v>
      </c>
      <c r="Q14" s="81"/>
    </row>
    <row r="15" ht="15.75" spans="1:17">
      <c r="A15" s="10">
        <v>13</v>
      </c>
      <c r="B15" s="15"/>
      <c r="C15" s="95" t="s">
        <v>82</v>
      </c>
      <c r="D15" s="96" t="s">
        <v>83</v>
      </c>
      <c r="E15" s="30" t="s">
        <v>84</v>
      </c>
      <c r="F15" s="96" t="s">
        <v>85</v>
      </c>
      <c r="G15" s="26" t="s">
        <v>86</v>
      </c>
      <c r="H15" s="26" t="s">
        <v>24</v>
      </c>
      <c r="I15" s="26" t="s">
        <v>24</v>
      </c>
      <c r="J15" s="55">
        <v>1</v>
      </c>
      <c r="K15" s="56">
        <f t="shared" si="0"/>
        <v>5</v>
      </c>
      <c r="L15" s="57" t="s">
        <v>26</v>
      </c>
      <c r="M15" s="58">
        <v>3.2</v>
      </c>
      <c r="N15" s="59">
        <f t="shared" si="1"/>
        <v>3.2</v>
      </c>
      <c r="O15" s="62">
        <v>3.2</v>
      </c>
      <c r="P15" s="59">
        <f t="shared" si="2"/>
        <v>16</v>
      </c>
      <c r="Q15" s="82"/>
    </row>
    <row r="16" ht="15.75" spans="1:17">
      <c r="A16" s="10">
        <v>14</v>
      </c>
      <c r="B16" s="15"/>
      <c r="C16" s="27" t="s">
        <v>87</v>
      </c>
      <c r="D16" s="96" t="s">
        <v>88</v>
      </c>
      <c r="E16" s="96" t="s">
        <v>89</v>
      </c>
      <c r="F16" s="96" t="s">
        <v>90</v>
      </c>
      <c r="G16" s="26" t="s">
        <v>91</v>
      </c>
      <c r="H16" s="26" t="s">
        <v>24</v>
      </c>
      <c r="I16" s="26" t="s">
        <v>24</v>
      </c>
      <c r="J16" s="55">
        <v>1</v>
      </c>
      <c r="K16" s="56">
        <f t="shared" si="0"/>
        <v>5</v>
      </c>
      <c r="L16" s="57" t="s">
        <v>26</v>
      </c>
      <c r="M16" s="58">
        <v>0.43</v>
      </c>
      <c r="N16" s="59">
        <f t="shared" si="1"/>
        <v>0.43</v>
      </c>
      <c r="O16" s="62">
        <v>0.43</v>
      </c>
      <c r="P16" s="59">
        <f t="shared" si="2"/>
        <v>2.15</v>
      </c>
      <c r="Q16" s="82"/>
    </row>
    <row r="17" ht="15.75" spans="1:17">
      <c r="A17" s="10">
        <v>15</v>
      </c>
      <c r="B17" s="11"/>
      <c r="C17" s="12" t="s">
        <v>92</v>
      </c>
      <c r="D17" s="88" t="s">
        <v>93</v>
      </c>
      <c r="E17" s="88" t="s">
        <v>94</v>
      </c>
      <c r="F17" s="88" t="s">
        <v>95</v>
      </c>
      <c r="G17" s="14" t="s">
        <v>96</v>
      </c>
      <c r="H17" s="14" t="s">
        <v>24</v>
      </c>
      <c r="I17" s="14" t="s">
        <v>24</v>
      </c>
      <c r="J17" s="60">
        <v>1</v>
      </c>
      <c r="K17" s="42">
        <f t="shared" si="0"/>
        <v>5</v>
      </c>
      <c r="L17" s="43" t="s">
        <v>26</v>
      </c>
      <c r="M17" s="44">
        <v>1.11</v>
      </c>
      <c r="N17" s="45">
        <f t="shared" si="1"/>
        <v>1.11</v>
      </c>
      <c r="O17" s="61">
        <v>1.11</v>
      </c>
      <c r="P17" s="45">
        <f t="shared" si="2"/>
        <v>5.55</v>
      </c>
      <c r="Q17" s="83"/>
    </row>
    <row r="18" ht="15.75" spans="1:17">
      <c r="A18" s="10">
        <v>16</v>
      </c>
      <c r="B18" s="31" t="s">
        <v>97</v>
      </c>
      <c r="C18" s="98" t="s">
        <v>98</v>
      </c>
      <c r="D18" s="94" t="s">
        <v>99</v>
      </c>
      <c r="E18" s="23" t="s">
        <v>52</v>
      </c>
      <c r="F18" s="94" t="s">
        <v>100</v>
      </c>
      <c r="G18" s="9" t="s">
        <v>101</v>
      </c>
      <c r="H18" s="9" t="s">
        <v>24</v>
      </c>
      <c r="I18" s="9" t="s">
        <v>24</v>
      </c>
      <c r="J18" s="63">
        <v>1</v>
      </c>
      <c r="K18" s="9">
        <f t="shared" si="0"/>
        <v>5</v>
      </c>
      <c r="L18" s="53" t="s">
        <v>26</v>
      </c>
      <c r="M18" s="39">
        <v>0.45</v>
      </c>
      <c r="N18" s="40">
        <f t="shared" si="1"/>
        <v>0.45</v>
      </c>
      <c r="O18" s="40">
        <v>0.45</v>
      </c>
      <c r="P18" s="40">
        <f t="shared" si="2"/>
        <v>2.25</v>
      </c>
      <c r="Q18" s="84"/>
    </row>
    <row r="19" ht="15.75" spans="1:17">
      <c r="A19" s="10">
        <v>17</v>
      </c>
      <c r="B19" s="32"/>
      <c r="C19" s="27" t="s">
        <v>102</v>
      </c>
      <c r="D19" s="99" t="s">
        <v>103</v>
      </c>
      <c r="E19" s="30" t="s">
        <v>52</v>
      </c>
      <c r="F19" s="99" t="s">
        <v>104</v>
      </c>
      <c r="G19" s="26" t="s">
        <v>105</v>
      </c>
      <c r="H19" s="26" t="s">
        <v>24</v>
      </c>
      <c r="I19" s="26" t="s">
        <v>24</v>
      </c>
      <c r="J19" s="64">
        <v>1</v>
      </c>
      <c r="K19" s="56">
        <f t="shared" si="0"/>
        <v>5</v>
      </c>
      <c r="L19" s="57" t="s">
        <v>26</v>
      </c>
      <c r="M19" s="58">
        <v>0.15</v>
      </c>
      <c r="N19" s="59">
        <f t="shared" si="1"/>
        <v>0.15</v>
      </c>
      <c r="O19" s="62">
        <v>0.15</v>
      </c>
      <c r="P19" s="59">
        <f t="shared" si="2"/>
        <v>0.75</v>
      </c>
      <c r="Q19" s="85"/>
    </row>
    <row r="20" ht="15.75" spans="1:17">
      <c r="A20" s="10">
        <v>18</v>
      </c>
      <c r="B20" s="32"/>
      <c r="C20" s="95" t="s">
        <v>106</v>
      </c>
      <c r="D20" s="96" t="s">
        <v>107</v>
      </c>
      <c r="E20" s="25" t="s">
        <v>52</v>
      </c>
      <c r="F20" s="96" t="s">
        <v>108</v>
      </c>
      <c r="G20" s="26" t="s">
        <v>105</v>
      </c>
      <c r="H20" s="26" t="s">
        <v>24</v>
      </c>
      <c r="I20" s="26" t="s">
        <v>24</v>
      </c>
      <c r="J20" s="64">
        <v>1</v>
      </c>
      <c r="K20" s="56">
        <f t="shared" si="0"/>
        <v>5</v>
      </c>
      <c r="L20" s="57" t="s">
        <v>26</v>
      </c>
      <c r="M20" s="58">
        <v>0.21</v>
      </c>
      <c r="N20" s="59">
        <f t="shared" si="1"/>
        <v>0.21</v>
      </c>
      <c r="O20" s="62">
        <v>0.21</v>
      </c>
      <c r="P20" s="59">
        <f t="shared" si="2"/>
        <v>1.05</v>
      </c>
      <c r="Q20" s="85"/>
    </row>
    <row r="21" ht="26.25" spans="1:17">
      <c r="A21" s="10">
        <v>19</v>
      </c>
      <c r="B21" s="33"/>
      <c r="C21" s="100" t="s">
        <v>109</v>
      </c>
      <c r="D21" s="88" t="s">
        <v>110</v>
      </c>
      <c r="E21" s="13" t="s">
        <v>52</v>
      </c>
      <c r="F21" s="88" t="s">
        <v>111</v>
      </c>
      <c r="G21" s="14" t="s">
        <v>24</v>
      </c>
      <c r="H21" s="14" t="s">
        <v>24</v>
      </c>
      <c r="I21" s="14" t="s">
        <v>24</v>
      </c>
      <c r="J21" s="65">
        <v>5</v>
      </c>
      <c r="K21" s="42">
        <f t="shared" si="0"/>
        <v>25</v>
      </c>
      <c r="L21" s="66" t="s">
        <v>24</v>
      </c>
      <c r="M21" s="44" t="s">
        <v>24</v>
      </c>
      <c r="N21" s="45" t="s">
        <v>24</v>
      </c>
      <c r="O21" s="61" t="s">
        <v>24</v>
      </c>
      <c r="P21" s="45" t="s">
        <v>24</v>
      </c>
      <c r="Q21" s="83"/>
    </row>
    <row r="22" ht="19.5" spans="10:16">
      <c r="J22" s="67" t="s">
        <v>112</v>
      </c>
      <c r="K22" s="67"/>
      <c r="L22" s="67"/>
      <c r="M22" s="67"/>
      <c r="N22" s="68">
        <f>SUM(N3:N21)</f>
        <v>15.6</v>
      </c>
      <c r="O22" s="69"/>
      <c r="P22" s="68">
        <f>SUM(P3:P13)</f>
        <v>22.41</v>
      </c>
    </row>
    <row r="23" ht="18.75" spans="10:16">
      <c r="J23" s="70" t="s">
        <v>113</v>
      </c>
      <c r="K23" s="70"/>
      <c r="L23" s="70"/>
      <c r="M23" s="70"/>
      <c r="N23" s="71">
        <f>SUM(N3:N13)</f>
        <v>5.7</v>
      </c>
      <c r="O23" s="69"/>
      <c r="P23" s="71">
        <f>P22/5</f>
        <v>4.482</v>
      </c>
    </row>
  </sheetData>
  <mergeCells count="7">
    <mergeCell ref="A1:Q1"/>
    <mergeCell ref="J22:M22"/>
    <mergeCell ref="J23:M23"/>
    <mergeCell ref="B3:B4"/>
    <mergeCell ref="B7:B11"/>
    <mergeCell ref="B14:B17"/>
    <mergeCell ref="B18:B21"/>
  </mergeCells>
  <conditionalFormatting sqref="N2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{c354deae-4090-463e-b005-843c53c7e929}</x14:id>
        </ext>
      </extLst>
    </cfRule>
  </conditionalFormatting>
  <conditionalFormatting sqref="P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{b1afa308-6e2a-4303-8780-d4198b6a406c}</x14:id>
        </ext>
      </extLst>
    </cfRule>
  </conditionalFormatting>
  <conditionalFormatting sqref="K3:K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2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{392195f2-26f2-48e9-a293-98f7ef0a39a4}</x14:id>
        </ext>
      </extLst>
    </cfRule>
  </conditionalFormatting>
  <conditionalFormatting sqref="P3:P2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{e178eaeb-e7c5-4d1a-919c-5e7cdefa70cf}</x14:id>
        </ext>
      </extLst>
    </cfRule>
  </conditionalFormatting>
  <conditionalFormatting sqref="Q11:Q12 Q14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{efade593-5ce8-4b70-9275-49ac4f80c317}</x14:id>
        </ext>
      </extLst>
    </cfRule>
  </conditionalFormatting>
  <hyperlinks>
    <hyperlink ref="L3" r:id="rId1" display="Digikey"/>
    <hyperlink ref="L4" r:id="rId2" display="Digikey"/>
    <hyperlink ref="L5" r:id="rId3" display="Digikey"/>
    <hyperlink ref="L6" r:id="rId4" display="Digikey"/>
    <hyperlink ref="L7" r:id="rId5" display="Digikey"/>
    <hyperlink ref="L8" r:id="rId6" display="Digikey"/>
    <hyperlink ref="L9" r:id="rId7" display="Digikey"/>
    <hyperlink ref="L10" r:id="rId8" display="Digikey"/>
    <hyperlink ref="L11" r:id="rId9" display="Digikey"/>
    <hyperlink ref="L13" r:id="rId10" display="Digikey"/>
    <hyperlink ref="L14" r:id="rId11" display="Digikey"/>
    <hyperlink ref="L15" r:id="rId12" display="Digikey"/>
    <hyperlink ref="L16" r:id="rId13" display="Digikey"/>
    <hyperlink ref="L17" r:id="rId14" display="Digikey"/>
    <hyperlink ref="L18" r:id="rId15" display="Digikey"/>
    <hyperlink ref="L19" r:id="rId16" display="Digikey"/>
    <hyperlink ref="L20" r:id="rId17" display="Digikey"/>
  </hyperlink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54deae-4090-463e-b005-843c53c7e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b1afa308-6e2a-4303-8780-d4198b6a40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92195f2-26f2-48e9-a293-98f7ef0a39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N3:N21</xm:sqref>
        </x14:conditionalFormatting>
        <x14:conditionalFormatting xmlns:xm="http://schemas.microsoft.com/office/excel/2006/main">
          <x14:cfRule type="dataBar" id="{e178eaeb-e7c5-4d1a-919c-5e7cdefa70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P3:P21</xm:sqref>
        </x14:conditionalFormatting>
        <x14:conditionalFormatting xmlns:xm="http://schemas.microsoft.com/office/excel/2006/main">
          <x14:cfRule type="dataBar" id="{efade593-5ce8-4b70-9275-49ac4f80c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Q11:Q12 Q14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eSpark-35</cp:lastModifiedBy>
  <dcterms:created xsi:type="dcterms:W3CDTF">2021-03-12T10:24:00Z</dcterms:created>
  <dcterms:modified xsi:type="dcterms:W3CDTF">2021-09-10T14:20:00Z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7CF4C7291B1144E999C371CA94B01FC7</vt:lpwstr>
  </property>
  <property fmtid="{D5CDD505-2E9C-101B-9397-08002B2CF9AE}" pid="3" name="KSOProductBuildVer">
    <vt:lpwstr>1033-11.2.0.10265</vt:lpwstr>
  </property>
</Properties>
</file>