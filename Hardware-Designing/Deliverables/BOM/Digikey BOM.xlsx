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ShockSensor-George\Hardware-Designing\Deliverables\BOM\"/>
    </mc:Choice>
  </mc:AlternateContent>
  <bookViews>
    <workbookView xWindow="-120" yWindow="-120" windowWidth="20730" windowHeight="111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  <c r="N8" i="1"/>
  <c r="N9" i="1"/>
  <c r="N10" i="1"/>
  <c r="N11" i="1"/>
  <c r="N4" i="1"/>
  <c r="N14" i="1"/>
  <c r="K14" i="1"/>
  <c r="P14" i="1" s="1"/>
  <c r="K11" i="1" l="1"/>
  <c r="P11" i="1" s="1"/>
  <c r="K10" i="1"/>
  <c r="P10" i="1" s="1"/>
  <c r="K9" i="1"/>
  <c r="P9" i="1" s="1"/>
  <c r="K8" i="1"/>
  <c r="P8" i="1" s="1"/>
  <c r="K4" i="1"/>
  <c r="P4" i="1" s="1"/>
  <c r="K33" i="1"/>
  <c r="K32" i="1"/>
  <c r="N31" i="1"/>
  <c r="K31" i="1"/>
  <c r="P31" i="1" s="1"/>
  <c r="N30" i="1"/>
  <c r="K30" i="1"/>
  <c r="P30" i="1" s="1"/>
  <c r="N29" i="1"/>
  <c r="K29" i="1"/>
  <c r="P29" i="1" s="1"/>
  <c r="N28" i="1"/>
  <c r="K28" i="1"/>
  <c r="P28" i="1" s="1"/>
  <c r="N27" i="1"/>
  <c r="K27" i="1"/>
  <c r="P27" i="1" s="1"/>
  <c r="N26" i="1"/>
  <c r="K26" i="1"/>
  <c r="P26" i="1" s="1"/>
  <c r="N25" i="1"/>
  <c r="K25" i="1"/>
  <c r="P25" i="1" s="1"/>
  <c r="N24" i="1"/>
  <c r="K24" i="1"/>
  <c r="P24" i="1" s="1"/>
  <c r="N23" i="1"/>
  <c r="K23" i="1"/>
  <c r="P23" i="1" s="1"/>
  <c r="N22" i="1"/>
  <c r="K22" i="1"/>
  <c r="P22" i="1" s="1"/>
  <c r="N21" i="1"/>
  <c r="K21" i="1"/>
  <c r="P21" i="1" s="1"/>
  <c r="N20" i="1"/>
  <c r="K20" i="1"/>
  <c r="P20" i="1" s="1"/>
  <c r="N19" i="1"/>
  <c r="K19" i="1"/>
  <c r="P19" i="1" s="1"/>
  <c r="N18" i="1"/>
  <c r="K18" i="1"/>
  <c r="P18" i="1" s="1"/>
  <c r="N17" i="1"/>
  <c r="K17" i="1"/>
  <c r="P17" i="1" s="1"/>
  <c r="N16" i="1"/>
  <c r="K16" i="1"/>
  <c r="P16" i="1" s="1"/>
  <c r="N15" i="1"/>
  <c r="K15" i="1"/>
  <c r="P15" i="1" s="1"/>
  <c r="N13" i="1"/>
  <c r="K13" i="1"/>
  <c r="P13" i="1" s="1"/>
  <c r="N12" i="1"/>
  <c r="K12" i="1"/>
  <c r="P12" i="1" s="1"/>
  <c r="N7" i="1"/>
  <c r="K7" i="1"/>
  <c r="P7" i="1" s="1"/>
  <c r="N6" i="1"/>
  <c r="K6" i="1"/>
  <c r="P6" i="1" s="1"/>
  <c r="N5" i="1"/>
  <c r="K5" i="1"/>
  <c r="P5" i="1" s="1"/>
  <c r="K3" i="1"/>
  <c r="P3" i="1" s="1"/>
  <c r="P34" i="1" l="1"/>
  <c r="P35" i="1" s="1"/>
  <c r="N35" i="1"/>
  <c r="N34" i="1"/>
</calcChain>
</file>

<file path=xl/sharedStrings.xml><?xml version="1.0" encoding="utf-8"?>
<sst xmlns="http://schemas.openxmlformats.org/spreadsheetml/2006/main" count="287" uniqueCount="171">
  <si>
    <t>Bill of Material (BOM) for  George (Rack Monitor)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</si>
  <si>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</si>
  <si>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</si>
  <si>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</si>
  <si>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</si>
  <si>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</si>
  <si>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</si>
  <si>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</si>
  <si>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</si>
  <si>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</si>
  <si>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</si>
  <si>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</si>
  <si>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Link</t>
  </si>
  <si>
    <t>Unit Cost(1)</t>
  </si>
  <si>
    <t>Total Cost(1)</t>
  </si>
  <si>
    <t>Unit Cost (5 Boards)</t>
  </si>
  <si>
    <t>Total Cost (5)</t>
  </si>
  <si>
    <t>Remarks</t>
  </si>
  <si>
    <t>Capacitors</t>
  </si>
  <si>
    <t xml:space="preserve">CAP CER 0.1UF 50V X7R 0603
</t>
  </si>
  <si>
    <t>CAP-0603</t>
  </si>
  <si>
    <t>CL10B104KB8NNNL</t>
  </si>
  <si>
    <t xml:space="preserve">Samsung 
</t>
  </si>
  <si>
    <t>-</t>
  </si>
  <si>
    <t>0.1uF</t>
  </si>
  <si>
    <t>Digikey</t>
  </si>
  <si>
    <t>CAP CER 4.7UF 25V X5R 0603</t>
  </si>
  <si>
    <t>C10, C12</t>
  </si>
  <si>
    <t>GRM188R61E475KE11D</t>
  </si>
  <si>
    <t>Murata</t>
  </si>
  <si>
    <t>4.7uF</t>
  </si>
  <si>
    <t xml:space="preserve">CAP CER 1UF 25V X5R 0603
</t>
  </si>
  <si>
    <t>C5, C6</t>
  </si>
  <si>
    <t>CL10A105KA8NNNC</t>
  </si>
  <si>
    <t>1uF</t>
  </si>
  <si>
    <t>LED</t>
  </si>
  <si>
    <t>LED GREEN CLEAR CHIP SMD</t>
  </si>
  <si>
    <t>LED 0402</t>
  </si>
  <si>
    <t>XZVG68W-2</t>
  </si>
  <si>
    <t>SunLED</t>
  </si>
  <si>
    <t>Mosfet</t>
  </si>
  <si>
    <t>MOSFET N-Channel 60V 0.115A SOT523</t>
  </si>
  <si>
    <t>Q1</t>
  </si>
  <si>
    <t>SOT-523</t>
  </si>
  <si>
    <t>2N7002T-7-F</t>
  </si>
  <si>
    <t xml:space="preserve">Diodes 
</t>
  </si>
  <si>
    <t xml:space="preserve">TRANS NPN 40V 0.6A SMD SOT23-3
</t>
  </si>
  <si>
    <t>Q2, Q3</t>
  </si>
  <si>
    <t>sot-23</t>
  </si>
  <si>
    <t>MMBT2222A-7-F</t>
  </si>
  <si>
    <t>Resistors</t>
  </si>
  <si>
    <t xml:space="preserve">RES SMD 10K OHM 5% 1/5W 0603
</t>
  </si>
  <si>
    <t>R6, R8, R11, R15, R16</t>
  </si>
  <si>
    <t>RES-0603</t>
  </si>
  <si>
    <t>CRGH0603J10K</t>
  </si>
  <si>
    <t>TE Connectivity</t>
  </si>
  <si>
    <t>10K</t>
  </si>
  <si>
    <t>TRIMMER 10K OHM 0.1W J LEAD TOP</t>
  </si>
  <si>
    <t>R7</t>
  </si>
  <si>
    <t>Custom</t>
  </si>
  <si>
    <t>TC33X-2-103E</t>
  </si>
  <si>
    <t xml:space="preserve">Bourns Inc.
</t>
  </si>
  <si>
    <t>RES SMD 4.7K OHM 1% 1/10W 0603</t>
  </si>
  <si>
    <t>R9, R26</t>
  </si>
  <si>
    <t>RC0603FR-074K7L</t>
  </si>
  <si>
    <t>YAGEO</t>
  </si>
  <si>
    <t>4.7K</t>
  </si>
  <si>
    <t xml:space="preserve">RES 470K OHM 1% 1/10W 0603
</t>
  </si>
  <si>
    <t>R10</t>
  </si>
  <si>
    <t>RC0603FR-13470KL</t>
  </si>
  <si>
    <t>470K</t>
  </si>
  <si>
    <t xml:space="preserve">RES SMD 560 OHM 1% 1/10W 0603
</t>
  </si>
  <si>
    <t>RC0603FR-07560RL</t>
  </si>
  <si>
    <t>560R</t>
  </si>
  <si>
    <t>RES 1K OHM 5% 1/10W 0603</t>
  </si>
  <si>
    <t>R18</t>
  </si>
  <si>
    <t>RMCF0603JJ1K00</t>
  </si>
  <si>
    <t xml:space="preserve">Stackpole </t>
  </si>
  <si>
    <t>1K</t>
  </si>
  <si>
    <t>RES SMD 22.1K OHM 1% 1/10W 0603</t>
  </si>
  <si>
    <t>R19</t>
  </si>
  <si>
    <t>ERJ-3EKF2212V</t>
  </si>
  <si>
    <t xml:space="preserve">Panasonic </t>
  </si>
  <si>
    <t>22.1K</t>
  </si>
  <si>
    <t xml:space="preserve">RES 47.5K OHM 1% 1/10W 0603
</t>
  </si>
  <si>
    <t>R20</t>
  </si>
  <si>
    <t>RC0603FR-0747K5L</t>
  </si>
  <si>
    <t>45.K</t>
  </si>
  <si>
    <t>RES SMD 0 OHM JUMPER 1/10W 0603</t>
  </si>
  <si>
    <t>R21</t>
  </si>
  <si>
    <t>RC0603JR-070RP</t>
  </si>
  <si>
    <t>0R</t>
  </si>
  <si>
    <t xml:space="preserve">RES 100K OHM 5% 1/10W 0603
</t>
  </si>
  <si>
    <t>R22, R23, R24, R25</t>
  </si>
  <si>
    <t>RC0603JR-07100KL</t>
  </si>
  <si>
    <t>100K</t>
  </si>
  <si>
    <t>Sensor</t>
  </si>
  <si>
    <t>Vibration sensor</t>
  </si>
  <si>
    <t>S1</t>
  </si>
  <si>
    <t>SW-420</t>
  </si>
  <si>
    <t>Switch</t>
  </si>
  <si>
    <t>SWITCH TACTILE SPST-NO 0.05A 12V</t>
  </si>
  <si>
    <t>SW1, SW2</t>
  </si>
  <si>
    <t>B3U-1000P</t>
  </si>
  <si>
    <t xml:space="preserve">Omron </t>
  </si>
  <si>
    <t>IC</t>
  </si>
  <si>
    <t>U1</t>
  </si>
  <si>
    <t xml:space="preserve">Espressif Systems
</t>
  </si>
  <si>
    <t xml:space="preserve">IC COMP DUAL VOLT LP 8SOIC
</t>
  </si>
  <si>
    <t>U3</t>
  </si>
  <si>
    <t>8-SOIC</t>
  </si>
  <si>
    <t>LM393ADT</t>
  </si>
  <si>
    <t>STMicroelectronics</t>
  </si>
  <si>
    <t xml:space="preserve">IC REG LINEAR 3.3V 1A 6DFN
</t>
  </si>
  <si>
    <t>U4</t>
  </si>
  <si>
    <t>6-DFN (3x3)</t>
  </si>
  <si>
    <t>NCP692MN33T2G</t>
  </si>
  <si>
    <t>onsemi</t>
  </si>
  <si>
    <t>IC USB TO UART BRIDGE QFN24</t>
  </si>
  <si>
    <t>U5</t>
  </si>
  <si>
    <t>CP2102N-A02-GQFN24R</t>
  </si>
  <si>
    <t xml:space="preserve">Silicon Labs
</t>
  </si>
  <si>
    <t>Connector</t>
  </si>
  <si>
    <t>CONN RCPT USB2.0 MICRO B SMD R/A</t>
  </si>
  <si>
    <t>J1</t>
  </si>
  <si>
    <t>10118194-0001LF</t>
  </si>
  <si>
    <t xml:space="preserve">Amphenol </t>
  </si>
  <si>
    <t>Solder Bridge ON</t>
  </si>
  <si>
    <t>SB1</t>
  </si>
  <si>
    <t>Solder Bridge</t>
  </si>
  <si>
    <t>Do Not Mount</t>
  </si>
  <si>
    <t>Test Point ON</t>
  </si>
  <si>
    <t>P1, P2, P3, P4, P5</t>
  </si>
  <si>
    <t>TEST POINT</t>
  </si>
  <si>
    <t xml:space="preserve">Total Component Cost </t>
  </si>
  <si>
    <t>Single Board Cost</t>
  </si>
  <si>
    <t>C2, C3, C4, C11, C13, C14</t>
  </si>
  <si>
    <t>CAP CER 22UF 16V X5R 0603</t>
  </si>
  <si>
    <t>C1</t>
  </si>
  <si>
    <t>CL10A226MO7JZNC</t>
  </si>
  <si>
    <t>22uF</t>
  </si>
  <si>
    <t>LED2</t>
  </si>
  <si>
    <t>Through_Hole_LED</t>
  </si>
  <si>
    <t>204-10SURT/S530-A3</t>
  </si>
  <si>
    <t>LED3</t>
  </si>
  <si>
    <t>204-10UYOC/S530-A3-L</t>
  </si>
  <si>
    <t>LED4</t>
  </si>
  <si>
    <t>204-10SYGC/S530-E2-L</t>
  </si>
  <si>
    <t>LED5</t>
  </si>
  <si>
    <t>204-10SUBC/C470/S400-A4</t>
  </si>
  <si>
    <t xml:space="preserve">LED RED CLEAR T/H
</t>
  </si>
  <si>
    <t>R12, R13, R14, R27</t>
  </si>
  <si>
    <t xml:space="preserve">MOSFET N/P-CH 60V/50V SC70-6
</t>
  </si>
  <si>
    <t>Q4</t>
  </si>
  <si>
    <t>SOT-363</t>
  </si>
  <si>
    <t>BSS8402DW-7-F</t>
  </si>
  <si>
    <t>LED1</t>
  </si>
  <si>
    <t xml:space="preserve">Everlight </t>
  </si>
  <si>
    <t xml:space="preserve">LED ORANGE CLEAR 3MM T/H
</t>
  </si>
  <si>
    <t xml:space="preserve">3MM YELLOW GREEN LED LAMP
</t>
  </si>
  <si>
    <t xml:space="preserve">LED BLUE CLEAR 3MM T/H
</t>
  </si>
  <si>
    <t>will be arrange from custom supplier</t>
  </si>
  <si>
    <t>Mouser</t>
  </si>
  <si>
    <t>-------</t>
  </si>
  <si>
    <t>--------</t>
  </si>
  <si>
    <t>----------</t>
  </si>
  <si>
    <t>-----------</t>
  </si>
  <si>
    <t>ESP32-S2-WROOM-I(4M)</t>
  </si>
  <si>
    <t xml:space="preserve">18x31x3.3mm WiFi Modules ROHS
</t>
  </si>
  <si>
    <t>----</t>
  </si>
  <si>
    <t>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</si>
</sst>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0"/>
    <numFmt numFmtId="165" formatCode="_-[$$-409]* #,##0.00_ ;_-[$$-409]* \-#,##0.00\ ;_-[$$-409]* &quot;-&quot;??_ ;_-@_ "/>
  </numFmts>
  <fonts count="18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2"/>
      <name val="Calibri"/>
      <charset val="134"/>
      <scheme val="minor"/>
    </font>
    <font>
      <sz val="10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0"/>
      <color theme="10"/>
      <name val="Calibri"/>
      <charset val="134"/>
      <scheme val="minor"/>
    </font>
    <font>
      <u/>
      <sz val="10"/>
      <color theme="10"/>
      <name val="Calibri"/>
      <charset val="134"/>
    </font>
    <font>
      <sz val="14"/>
      <name val="Calibri"/>
      <charset val="134"/>
      <scheme val="minor"/>
    </font>
    <font>
      <sz val="10"/>
      <name val="Calibri"/>
      <charset val="134"/>
      <scheme val="minor"/>
    </font>
    <font>
      <u/>
      <sz val="10"/>
      <color theme="10"/>
      <name val="Arial"/>
      <charset val="134"/>
    </font>
    <font>
      <b/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trike/>
      <u/>
      <sz val="10"/>
      <color rgb="FFFF0000"/>
      <name val="Calibri"/>
      <family val="2"/>
    </font>
    <font>
      <b/>
      <strike/>
      <sz val="12"/>
      <color rgb="FFFF0000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</cellStyleXfs>
  <cellXfs count="127">
    <xf numFmtId="0" fontId="0" fillId="0" borderId="0" xfId="0"/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vertical="center"/>
    </xf>
    <xf numFmtId="0" fontId="4" fillId="3" borderId="7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vertical="center"/>
    </xf>
    <xf numFmtId="0" fontId="4" fillId="0" borderId="10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vertical="center"/>
    </xf>
    <xf numFmtId="0" fontId="4" fillId="3" borderId="13" xfId="0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4" fillId="0" borderId="18" xfId="0" applyFont="1" applyFill="1" applyBorder="1" applyAlignment="1">
      <alignment horizontal="center" vertical="center" wrapText="1"/>
    </xf>
    <xf numFmtId="0" fontId="4" fillId="3" borderId="18" xfId="0" applyFont="1" applyFill="1" applyBorder="1" applyAlignment="1">
      <alignment horizontal="center" vertical="center"/>
    </xf>
    <xf numFmtId="164" fontId="5" fillId="3" borderId="7" xfId="0" applyNumberFormat="1" applyFont="1" applyFill="1" applyBorder="1" applyAlignment="1">
      <alignment horizontal="center" vertical="center"/>
    </xf>
    <xf numFmtId="164" fontId="4" fillId="3" borderId="7" xfId="0" applyNumberFormat="1" applyFont="1" applyFill="1" applyBorder="1" applyAlignment="1">
      <alignment horizontal="center" vertical="center"/>
    </xf>
    <xf numFmtId="0" fontId="7" fillId="3" borderId="10" xfId="1" applyFont="1" applyFill="1" applyBorder="1" applyAlignment="1" applyProtection="1">
      <alignment horizontal="center" vertical="center"/>
    </xf>
    <xf numFmtId="164" fontId="5" fillId="3" borderId="10" xfId="0" applyNumberFormat="1" applyFont="1" applyFill="1" applyBorder="1" applyAlignment="1">
      <alignment horizontal="center" vertical="center"/>
    </xf>
    <xf numFmtId="164" fontId="4" fillId="3" borderId="10" xfId="0" applyNumberFormat="1" applyFont="1" applyFill="1" applyBorder="1" applyAlignment="1">
      <alignment horizontal="center" vertical="center"/>
    </xf>
    <xf numFmtId="0" fontId="8" fillId="3" borderId="13" xfId="1" applyFont="1" applyFill="1" applyBorder="1" applyAlignment="1" applyProtection="1">
      <alignment horizontal="center" vertical="center"/>
    </xf>
    <xf numFmtId="164" fontId="5" fillId="3" borderId="13" xfId="0" applyNumberFormat="1" applyFont="1" applyFill="1" applyBorder="1" applyAlignment="1">
      <alignment horizontal="center" vertical="center"/>
    </xf>
    <xf numFmtId="164" fontId="4" fillId="3" borderId="13" xfId="0" applyNumberFormat="1" applyFont="1" applyFill="1" applyBorder="1" applyAlignment="1">
      <alignment horizontal="center" vertical="center"/>
    </xf>
    <xf numFmtId="0" fontId="8" fillId="3" borderId="7" xfId="1" applyFont="1" applyFill="1" applyBorder="1" applyAlignment="1" applyProtection="1">
      <alignment horizontal="center" vertical="center"/>
    </xf>
    <xf numFmtId="0" fontId="8" fillId="3" borderId="10" xfId="1" applyFont="1" applyFill="1" applyBorder="1" applyAlignment="1" applyProtection="1">
      <alignment horizontal="center" vertical="center"/>
    </xf>
    <xf numFmtId="0" fontId="8" fillId="3" borderId="18" xfId="1" applyFont="1" applyFill="1" applyBorder="1" applyAlignment="1" applyProtection="1">
      <alignment horizontal="center" vertical="center"/>
    </xf>
    <xf numFmtId="164" fontId="5" fillId="3" borderId="18" xfId="0" applyNumberFormat="1" applyFont="1" applyFill="1" applyBorder="1" applyAlignment="1">
      <alignment horizontal="center" vertical="center"/>
    </xf>
    <xf numFmtId="164" fontId="4" fillId="3" borderId="18" xfId="0" applyNumberFormat="1" applyFont="1" applyFill="1" applyBorder="1" applyAlignment="1">
      <alignment horizontal="center" vertical="center"/>
    </xf>
    <xf numFmtId="165" fontId="9" fillId="3" borderId="0" xfId="0" applyNumberFormat="1" applyFont="1" applyFill="1" applyAlignment="1"/>
    <xf numFmtId="165" fontId="9" fillId="3" borderId="0" xfId="0" applyNumberFormat="1" applyFont="1" applyFill="1" applyBorder="1" applyAlignment="1"/>
    <xf numFmtId="165" fontId="9" fillId="3" borderId="2" xfId="0" applyNumberFormat="1" applyFont="1" applyFill="1" applyBorder="1" applyAlignment="1">
      <alignment horizontal="center"/>
    </xf>
    <xf numFmtId="164" fontId="5" fillId="3" borderId="21" xfId="0" applyNumberFormat="1" applyFont="1" applyFill="1" applyBorder="1" applyAlignment="1">
      <alignment horizontal="left" vertical="center"/>
    </xf>
    <xf numFmtId="164" fontId="5" fillId="3" borderId="22" xfId="0" applyNumberFormat="1" applyFont="1" applyFill="1" applyBorder="1" applyAlignment="1">
      <alignment horizontal="left" vertical="center"/>
    </xf>
    <xf numFmtId="164" fontId="5" fillId="3" borderId="23" xfId="0" applyNumberFormat="1" applyFont="1" applyFill="1" applyBorder="1" applyAlignment="1">
      <alignment horizontal="left" vertical="center"/>
    </xf>
    <xf numFmtId="164" fontId="4" fillId="3" borderId="22" xfId="0" applyNumberFormat="1" applyFont="1" applyFill="1" applyBorder="1" applyAlignment="1">
      <alignment horizontal="center" vertical="center"/>
    </xf>
    <xf numFmtId="164" fontId="4" fillId="3" borderId="23" xfId="0" applyNumberFormat="1" applyFont="1" applyFill="1" applyBorder="1" applyAlignment="1">
      <alignment horizontal="center" vertical="center"/>
    </xf>
    <xf numFmtId="164" fontId="5" fillId="3" borderId="24" xfId="0" applyNumberFormat="1" applyFont="1" applyFill="1" applyBorder="1" applyAlignment="1">
      <alignment horizontal="left" vertical="center" wrapText="1" indent="1"/>
    </xf>
    <xf numFmtId="165" fontId="10" fillId="3" borderId="22" xfId="0" applyNumberFormat="1" applyFont="1" applyFill="1" applyBorder="1" applyAlignment="1"/>
    <xf numFmtId="0" fontId="4" fillId="0" borderId="22" xfId="0" applyFont="1" applyBorder="1"/>
    <xf numFmtId="0" fontId="4" fillId="0" borderId="23" xfId="0" applyFont="1" applyBorder="1"/>
    <xf numFmtId="0" fontId="4" fillId="0" borderId="7" xfId="0" quotePrefix="1" applyFont="1" applyFill="1" applyBorder="1" applyAlignment="1">
      <alignment horizontal="center" vertical="center"/>
    </xf>
    <xf numFmtId="0" fontId="4" fillId="0" borderId="7" xfId="0" quotePrefix="1" applyFont="1" applyFill="1" applyBorder="1" applyAlignment="1">
      <alignment horizontal="center" vertical="center" wrapText="1"/>
    </xf>
    <xf numFmtId="0" fontId="4" fillId="0" borderId="9" xfId="0" quotePrefix="1" applyFont="1" applyFill="1" applyBorder="1" applyAlignment="1">
      <alignment vertical="center"/>
    </xf>
    <xf numFmtId="0" fontId="4" fillId="0" borderId="10" xfId="0" quotePrefix="1" applyFont="1" applyFill="1" applyBorder="1" applyAlignment="1">
      <alignment horizontal="center" vertical="center" wrapText="1"/>
    </xf>
    <xf numFmtId="0" fontId="4" fillId="0" borderId="13" xfId="0" quotePrefix="1" applyFont="1" applyFill="1" applyBorder="1" applyAlignment="1">
      <alignment horizontal="center" vertical="center" wrapText="1"/>
    </xf>
    <xf numFmtId="0" fontId="4" fillId="0" borderId="14" xfId="0" quotePrefix="1" applyFont="1" applyFill="1" applyBorder="1" applyAlignment="1">
      <alignment horizontal="center" vertical="center" wrapText="1"/>
    </xf>
    <xf numFmtId="0" fontId="4" fillId="0" borderId="9" xfId="0" quotePrefix="1" applyFont="1" applyFill="1" applyBorder="1" applyAlignment="1">
      <alignment vertical="center" wrapText="1"/>
    </xf>
    <xf numFmtId="0" fontId="4" fillId="0" borderId="16" xfId="0" quotePrefix="1" applyFont="1" applyFill="1" applyBorder="1" applyAlignment="1">
      <alignment horizontal="center" vertical="center" wrapText="1"/>
    </xf>
    <xf numFmtId="0" fontId="4" fillId="0" borderId="17" xfId="0" quotePrefix="1" applyFont="1" applyFill="1" applyBorder="1" applyAlignment="1">
      <alignment vertical="center" wrapText="1"/>
    </xf>
    <xf numFmtId="0" fontId="4" fillId="0" borderId="18" xfId="0" quotePrefix="1" applyFont="1" applyFill="1" applyBorder="1" applyAlignment="1">
      <alignment horizontal="center" vertical="center" wrapText="1"/>
    </xf>
    <xf numFmtId="0" fontId="4" fillId="0" borderId="12" xfId="0" quotePrefix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0" borderId="25" xfId="0" quotePrefix="1" applyFont="1" applyFill="1" applyBorder="1" applyAlignment="1">
      <alignment horizontal="center" vertical="center" wrapText="1"/>
    </xf>
    <xf numFmtId="164" fontId="5" fillId="3" borderId="25" xfId="0" applyNumberFormat="1" applyFont="1" applyFill="1" applyBorder="1" applyAlignment="1">
      <alignment horizontal="center" vertical="center"/>
    </xf>
    <xf numFmtId="164" fontId="4" fillId="3" borderId="25" xfId="0" applyNumberFormat="1" applyFont="1" applyFill="1" applyBorder="1" applyAlignment="1">
      <alignment horizontal="center" vertical="center"/>
    </xf>
    <xf numFmtId="164" fontId="5" fillId="3" borderId="26" xfId="0" applyNumberFormat="1" applyFont="1" applyFill="1" applyBorder="1" applyAlignment="1">
      <alignment horizontal="left" vertical="center"/>
    </xf>
    <xf numFmtId="0" fontId="4" fillId="3" borderId="27" xfId="0" applyFont="1" applyFill="1" applyBorder="1" applyAlignment="1">
      <alignment horizontal="center" vertical="center"/>
    </xf>
    <xf numFmtId="0" fontId="8" fillId="3" borderId="25" xfId="1" applyFont="1" applyFill="1" applyBorder="1" applyAlignment="1" applyProtection="1">
      <alignment horizontal="center" vertical="center"/>
    </xf>
    <xf numFmtId="0" fontId="4" fillId="0" borderId="28" xfId="0" quotePrefix="1" applyFont="1" applyFill="1" applyBorder="1" applyAlignment="1">
      <alignment vertical="center" wrapText="1"/>
    </xf>
    <xf numFmtId="0" fontId="4" fillId="0" borderId="25" xfId="0" applyFont="1" applyFill="1" applyBorder="1" applyAlignment="1">
      <alignment horizontal="center" vertical="center" wrapText="1"/>
    </xf>
    <xf numFmtId="0" fontId="4" fillId="3" borderId="25" xfId="0" applyFont="1" applyFill="1" applyBorder="1" applyAlignment="1">
      <alignment horizontal="center" vertical="center" wrapText="1"/>
    </xf>
    <xf numFmtId="0" fontId="4" fillId="0" borderId="26" xfId="0" applyFont="1" applyBorder="1"/>
    <xf numFmtId="0" fontId="4" fillId="3" borderId="10" xfId="0" quotePrefix="1" applyFont="1" applyFill="1" applyBorder="1" applyAlignment="1">
      <alignment horizontal="center" vertical="center" wrapText="1"/>
    </xf>
    <xf numFmtId="0" fontId="4" fillId="3" borderId="13" xfId="0" quotePrefix="1" applyFont="1" applyFill="1" applyBorder="1" applyAlignment="1">
      <alignment horizontal="center" vertical="center" wrapText="1"/>
    </xf>
    <xf numFmtId="0" fontId="4" fillId="3" borderId="7" xfId="0" quotePrefix="1" applyFont="1" applyFill="1" applyBorder="1" applyAlignment="1">
      <alignment horizontal="center" vertical="center" wrapText="1"/>
    </xf>
    <xf numFmtId="0" fontId="4" fillId="3" borderId="18" xfId="0" quotePrefix="1" applyFont="1" applyFill="1" applyBorder="1" applyAlignment="1">
      <alignment horizontal="center" vertical="center" wrapText="1"/>
    </xf>
    <xf numFmtId="0" fontId="4" fillId="3" borderId="25" xfId="0" quotePrefix="1" applyFont="1" applyFill="1" applyBorder="1" applyAlignment="1">
      <alignment horizontal="center" vertical="center" wrapText="1"/>
    </xf>
    <xf numFmtId="0" fontId="4" fillId="0" borderId="28" xfId="0" quotePrefix="1" applyFont="1" applyFill="1" applyBorder="1" applyAlignment="1">
      <alignment vertical="center"/>
    </xf>
    <xf numFmtId="0" fontId="4" fillId="0" borderId="6" xfId="0" quotePrefix="1" applyFont="1" applyFill="1" applyBorder="1" applyAlignment="1">
      <alignment vertical="center"/>
    </xf>
    <xf numFmtId="0" fontId="4" fillId="3" borderId="7" xfId="0" quotePrefix="1" applyFont="1" applyFill="1" applyBorder="1" applyAlignment="1">
      <alignment horizontal="center" vertical="center"/>
    </xf>
    <xf numFmtId="0" fontId="4" fillId="0" borderId="29" xfId="0" quotePrefix="1" applyFont="1" applyFill="1" applyBorder="1" applyAlignment="1">
      <alignment vertical="center" wrapText="1"/>
    </xf>
    <xf numFmtId="0" fontId="4" fillId="3" borderId="27" xfId="0" quotePrefix="1" applyFont="1" applyFill="1" applyBorder="1" applyAlignment="1">
      <alignment horizontal="center" vertical="center" wrapText="1"/>
    </xf>
    <xf numFmtId="0" fontId="4" fillId="0" borderId="27" xfId="0" quotePrefix="1" applyFont="1" applyFill="1" applyBorder="1" applyAlignment="1">
      <alignment horizontal="center" vertical="center" wrapText="1"/>
    </xf>
    <xf numFmtId="0" fontId="8" fillId="3" borderId="27" xfId="1" applyFont="1" applyFill="1" applyBorder="1" applyAlignment="1" applyProtection="1">
      <alignment horizontal="center" vertical="center"/>
    </xf>
    <xf numFmtId="164" fontId="5" fillId="3" borderId="27" xfId="0" applyNumberFormat="1" applyFont="1" applyFill="1" applyBorder="1" applyAlignment="1">
      <alignment horizontal="center" vertical="center"/>
    </xf>
    <xf numFmtId="164" fontId="4" fillId="3" borderId="27" xfId="0" applyNumberFormat="1" applyFont="1" applyFill="1" applyBorder="1" applyAlignment="1">
      <alignment horizontal="center" vertical="center"/>
    </xf>
    <xf numFmtId="164" fontId="5" fillId="3" borderId="30" xfId="0" applyNumberFormat="1" applyFont="1" applyFill="1" applyBorder="1" applyAlignment="1">
      <alignment horizontal="left" vertical="center"/>
    </xf>
    <xf numFmtId="0" fontId="4" fillId="3" borderId="16" xfId="0" quotePrefix="1" applyFont="1" applyFill="1" applyBorder="1" applyAlignment="1">
      <alignment horizontal="center" vertical="center"/>
    </xf>
    <xf numFmtId="0" fontId="7" fillId="3" borderId="27" xfId="1" applyFont="1" applyFill="1" applyBorder="1" applyAlignment="1" applyProtection="1">
      <alignment horizontal="center" vertical="center"/>
    </xf>
    <xf numFmtId="0" fontId="13" fillId="0" borderId="12" xfId="0" quotePrefix="1" applyFont="1" applyFill="1" applyBorder="1" applyAlignment="1">
      <alignment vertical="center"/>
    </xf>
    <xf numFmtId="0" fontId="4" fillId="4" borderId="7" xfId="0" quotePrefix="1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/>
    </xf>
    <xf numFmtId="0" fontId="8" fillId="4" borderId="18" xfId="1" applyFont="1" applyFill="1" applyBorder="1" applyAlignment="1" applyProtection="1">
      <alignment horizontal="center" vertical="center"/>
    </xf>
    <xf numFmtId="164" fontId="5" fillId="4" borderId="7" xfId="0" applyNumberFormat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11" fillId="3" borderId="13" xfId="1" applyFill="1" applyBorder="1" applyAlignment="1" applyProtection="1">
      <alignment horizontal="center" vertical="center"/>
    </xf>
    <xf numFmtId="0" fontId="14" fillId="4" borderId="9" xfId="0" quotePrefix="1" applyFont="1" applyFill="1" applyBorder="1" applyAlignment="1">
      <alignment vertical="center"/>
    </xf>
    <xf numFmtId="0" fontId="14" fillId="4" borderId="10" xfId="0" quotePrefix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6" fillId="4" borderId="22" xfId="0" applyFont="1" applyFill="1" applyBorder="1" applyAlignment="1">
      <alignment horizontal="center" vertical="center"/>
    </xf>
    <xf numFmtId="0" fontId="14" fillId="4" borderId="12" xfId="0" quotePrefix="1" applyFont="1" applyFill="1" applyBorder="1" applyAlignment="1">
      <alignment vertical="center" wrapText="1"/>
    </xf>
    <xf numFmtId="0" fontId="14" fillId="4" borderId="13" xfId="0" quotePrefix="1" applyFont="1" applyFill="1" applyBorder="1" applyAlignment="1">
      <alignment horizontal="center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14" fillId="4" borderId="13" xfId="0" applyFont="1" applyFill="1" applyBorder="1" applyAlignment="1">
      <alignment horizontal="center" vertical="center"/>
    </xf>
    <xf numFmtId="0" fontId="16" fillId="4" borderId="23" xfId="0" applyFont="1" applyFill="1" applyBorder="1" applyAlignment="1">
      <alignment horizontal="center" vertical="center"/>
    </xf>
    <xf numFmtId="0" fontId="15" fillId="4" borderId="10" xfId="1" quotePrefix="1" applyFont="1" applyFill="1" applyBorder="1" applyAlignment="1" applyProtection="1">
      <alignment horizontal="center" vertical="center"/>
    </xf>
    <xf numFmtId="0" fontId="14" fillId="4" borderId="13" xfId="0" quotePrefix="1" applyFont="1" applyFill="1" applyBorder="1" applyAlignment="1">
      <alignment horizontal="center" vertical="center"/>
    </xf>
    <xf numFmtId="164" fontId="14" fillId="4" borderId="13" xfId="0" quotePrefix="1" applyNumberFormat="1" applyFont="1" applyFill="1" applyBorder="1" applyAlignment="1">
      <alignment horizontal="center" vertical="center"/>
    </xf>
    <xf numFmtId="164" fontId="14" fillId="4" borderId="10" xfId="0" quotePrefix="1" applyNumberFormat="1" applyFont="1" applyFill="1" applyBorder="1" applyAlignment="1">
      <alignment horizontal="center" vertical="center"/>
    </xf>
    <xf numFmtId="165" fontId="17" fillId="4" borderId="21" xfId="0" applyNumberFormat="1" applyFont="1" applyFill="1" applyBorder="1" applyAlignment="1">
      <alignment horizontal="center" vertical="center"/>
    </xf>
    <xf numFmtId="0" fontId="4" fillId="4" borderId="6" xfId="0" quotePrefix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/>
    </xf>
    <xf numFmtId="0" fontId="12" fillId="3" borderId="2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4" fillId="4" borderId="15" xfId="0" quotePrefix="1" applyFont="1" applyFill="1" applyBorder="1" applyAlignment="1">
      <alignment vertical="center" wrapText="1"/>
    </xf>
    <xf numFmtId="0" fontId="4" fillId="4" borderId="16" xfId="0" quotePrefix="1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4" fillId="4" borderId="16" xfId="0" quotePrefix="1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8" fillId="4" borderId="16" xfId="1" applyFont="1" applyFill="1" applyBorder="1" applyAlignment="1" applyProtection="1">
      <alignment horizontal="center" vertical="center"/>
    </xf>
    <xf numFmtId="164" fontId="4" fillId="4" borderId="16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RC0603FR-13470KL/13694191?s=N4IgTCBcDaIEoGEAMA2JBmAYnAtARnQBYB2JAaQBkQBdAXyA" TargetMode="External"/><Relationship Id="rId13" Type="http://schemas.openxmlformats.org/officeDocument/2006/relationships/hyperlink" Target="https://www.digikey.com/en/products/detail/amphenol-icc-fci/10118194-0001LF/2785389?s=N4IgTCBcDaIIwAY5wBxwJwBYC0C9wBkAxEAXQF8g" TargetMode="External"/><Relationship Id="rId18" Type="http://schemas.openxmlformats.org/officeDocument/2006/relationships/hyperlink" Target="https://www.digikey.com/en/products/detail/yageo/RC0603FR-0747K5L/727255?s=N4IgTCBcDaIEoGEAMA2JBmAYnAtEg7ACz4DSArADIgC6AvkA" TargetMode="External"/><Relationship Id="rId26" Type="http://schemas.openxmlformats.org/officeDocument/2006/relationships/hyperlink" Target="https://www.digikey.com/en/products/detail/inolux/INL-3AB30/7604618" TargetMode="External"/><Relationship Id="rId3" Type="http://schemas.openxmlformats.org/officeDocument/2006/relationships/hyperlink" Target="https://www.digikey.com/en/products/detail/sunled/XZVG68W-2/4745975?s=N4IgTCBcDaIBoC0BqBxAbADgOoFoIF0BfIA" TargetMode="External"/><Relationship Id="rId21" Type="http://schemas.openxmlformats.org/officeDocument/2006/relationships/hyperlink" Target="https://www.digikey.com/en/products/detail/diodes-incorporated/BSS8402DW-7-F/815002?s=N4IgTCBcDaIEIGUEA4AsAGMARA6gWgHY8AxEAXQF8g" TargetMode="External"/><Relationship Id="rId7" Type="http://schemas.openxmlformats.org/officeDocument/2006/relationships/hyperlink" Target="https://www.digikey.com/en/products/detail/yageo/RC0603FR-074K7L/727212?s=N4IgTCBcDaIEoGEAMA2JBmAYnAtEg7ACwDS%2BAMiALoC%2BQA" TargetMode="External"/><Relationship Id="rId12" Type="http://schemas.openxmlformats.org/officeDocument/2006/relationships/hyperlink" Target="https://www.digikey.com/en/products/detail/onsemi/NCP692MN33T2G/2194205" TargetMode="External"/><Relationship Id="rId17" Type="http://schemas.openxmlformats.org/officeDocument/2006/relationships/hyperlink" Target="https://www.digikey.com/en/products/detail/panasonic-electronic-components/ERJ-3EKF2212V/196218?s=N4IgTCBcDaIKICUBSBaAzHA0gMTGAjGAGogC6AvkA" TargetMode="External"/><Relationship Id="rId25" Type="http://schemas.openxmlformats.org/officeDocument/2006/relationships/hyperlink" Target="https://www.digikey.com/en/products/detail/american-opto-plus-led/L314GT/13165175" TargetMode="External"/><Relationship Id="rId2" Type="http://schemas.openxmlformats.org/officeDocument/2006/relationships/hyperlink" Target="https://www.digikey.com/en/products/detail/samsung-electro-mechanics/CL10A105KA8NNNC/3886760?s=N4IgTCBcDaIMIBkCMAGAgqgrAaTQDgDki4QBdAXyA" TargetMode="External"/><Relationship Id="rId16" Type="http://schemas.openxmlformats.org/officeDocument/2006/relationships/hyperlink" Target="https://www.digikey.com/en/products/detail/stackpole-electronics-inc/RMCF0603JJ1K00/6053783?s=N4IgTCBcDaIEoFkDCAxADANjQZgFK4EYBpNNEAXQF8g" TargetMode="External"/><Relationship Id="rId20" Type="http://schemas.openxmlformats.org/officeDocument/2006/relationships/hyperlink" Target="https://www.digikey.com/en/products/detail/yageo/RC0603JR-07100KL/726698?s=N4IgTCBcDaIEoGEAMA2JBmAUnAtEg7AIxJIDSAMiALoC%2BQA" TargetMode="External"/><Relationship Id="rId1" Type="http://schemas.openxmlformats.org/officeDocument/2006/relationships/hyperlink" Target="https://www.digikey.com/en/products/detail/samsung-electro-mechanics/CL10B104KB8NNNL/3894274?s=N4IgTCBcDaIMIBkCMAGAQqgLAaTQDgDkiEQBdAXyA" TargetMode="External"/><Relationship Id="rId6" Type="http://schemas.openxmlformats.org/officeDocument/2006/relationships/hyperlink" Target="https://www.digikey.com/en/products/detail/bourns-inc/TC33X-2-103E/612858?s=N4IgTCBcDaICoGEDMSAaBaM6CMAGJAoiALoC%2BQA" TargetMode="External"/><Relationship Id="rId11" Type="http://schemas.openxmlformats.org/officeDocument/2006/relationships/hyperlink" Target="https://www.digikey.com/en/products/detail/stmicroelectronics/LM393ADT/725475" TargetMode="External"/><Relationship Id="rId24" Type="http://schemas.openxmlformats.org/officeDocument/2006/relationships/hyperlink" Target="https://www.digikey.com/en/products/detail/vishay-semiconductor-opto-division/TLHF4900/1681231" TargetMode="External"/><Relationship Id="rId5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15" Type="http://schemas.openxmlformats.org/officeDocument/2006/relationships/hyperlink" Target="https://www.digikey.com/en/products/detail/diodes-incorporated/MMBT2222A-7-F/814503" TargetMode="External"/><Relationship Id="rId23" Type="http://schemas.openxmlformats.org/officeDocument/2006/relationships/hyperlink" Target="https://www.digikey.com/en/products/detail/sunled/XLMDK65D/13559277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omron-electronics-inc-emc-div/B3U-1000P/1534338" TargetMode="External"/><Relationship Id="rId19" Type="http://schemas.openxmlformats.org/officeDocument/2006/relationships/hyperlink" Target="https://www.digikey.com/en/products/detail/yageo/RC0603JR-070RP/4935322?s=N4IgTCBcDaIEoGEAMA2JBmAUnAtEg7EnAAogC6AvkA" TargetMode="External"/><Relationship Id="rId4" Type="http://schemas.openxmlformats.org/officeDocument/2006/relationships/hyperlink" Target="https://www.digikey.com/en/products/detail/diodes-incorporated/2N7002T-7-F/814963?s=N4IgTCBcDa4HIHYAMSwBUC0CMDEQF0BfIA" TargetMode="External"/><Relationship Id="rId9" Type="http://schemas.openxmlformats.org/officeDocument/2006/relationships/hyperlink" Target="https://www.digikey.com/en/products/detail/yageo/RC0603FR-07560RL/727304?s=N4IgTCBcDaIEoGEAMA2JBmAYnAtEg7AKxpwAyIAugL5A" TargetMode="External"/><Relationship Id="rId14" Type="http://schemas.openxmlformats.org/officeDocument/2006/relationships/hyperlink" Target="https://www.digikey.com/en/products/detail/murata-electronics/GRM188R61E475KE11D/3900465?s=N4IgTCBcDaIOICUCyBGAHGhA2FBRALAOwCsA0riigCIgC6AvkA" TargetMode="External"/><Relationship Id="rId22" Type="http://schemas.openxmlformats.org/officeDocument/2006/relationships/hyperlink" Target="https://www.digikey.com/en/products/detail/samsung-electro-mechanics/CL10A226MO7JZNC/7320581?s=N4IgTCBcDaIMIBkCMAGAgmMA2AsgeQHYApALQDk4QBdAXyA" TargetMode="External"/><Relationship Id="rId27" Type="http://schemas.openxmlformats.org/officeDocument/2006/relationships/hyperlink" Target="https://eu.mouser.com/ProductDetail/Silicon-Labs/CP2102N-A02-GQFN24R?qs=%2Fha2pyFadugXX01mIBNMiBjgh18gCPwhnB%252BdEMnmQ9AlMc%2FamKRL1Cym77KNQzaw&amp;utm_source=octopart&amp;utm_medium=aggregator&amp;utm_campaign=634-CP2102NA02QFN24R&amp;utm_content=Silicon%20Laboratori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tabSelected="1" topLeftCell="L1" workbookViewId="0">
      <selection activeCell="AH18" sqref="AH18"/>
    </sheetView>
  </sheetViews>
  <sheetFormatPr defaultColWidth="9" defaultRowHeight="15"/>
  <cols>
    <col min="1" max="1" width="6.7109375" customWidth="1"/>
    <col min="2" max="2" width="13.42578125" customWidth="1"/>
    <col min="3" max="3" width="32.28515625" bestFit="1" customWidth="1"/>
    <col min="4" max="4" width="20.5703125" bestFit="1" customWidth="1"/>
    <col min="5" max="5" width="20.5703125" customWidth="1"/>
    <col min="6" max="6" width="28.42578125" bestFit="1" customWidth="1"/>
    <col min="7" max="7" width="16.28515625" bestFit="1" customWidth="1"/>
    <col min="8" max="8" width="10.28515625" bestFit="1" customWidth="1"/>
    <col min="9" max="9" width="6.42578125" bestFit="1" customWidth="1"/>
    <col min="10" max="10" width="22.140625" customWidth="1"/>
    <col min="11" max="11" width="11.42578125" customWidth="1"/>
    <col min="12" max="12" width="14" bestFit="1" customWidth="1"/>
    <col min="13" max="13" width="12.42578125" customWidth="1"/>
    <col min="14" max="14" width="13.42578125" customWidth="1"/>
    <col min="15" max="15" width="20.5703125" customWidth="1"/>
    <col min="16" max="16" width="14" customWidth="1"/>
    <col min="17" max="17" width="35.140625" customWidth="1"/>
  </cols>
  <sheetData>
    <row r="1" spans="1:17" ht="16.5" thickBot="1">
      <c r="A1" s="110" t="s">
        <v>0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2"/>
    </row>
    <row r="2" spans="1:17" ht="16.5" thickBot="1">
      <c r="A2" s="1" t="s">
        <v>1</v>
      </c>
      <c r="B2" s="54" t="s">
        <v>2</v>
      </c>
      <c r="C2" s="2" t="s">
        <v>3</v>
      </c>
      <c r="D2" s="1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55" t="s">
        <v>12</v>
      </c>
      <c r="M2" s="2" t="s">
        <v>13</v>
      </c>
      <c r="N2" s="2" t="s">
        <v>14</v>
      </c>
      <c r="O2" s="2" t="s">
        <v>15</v>
      </c>
      <c r="P2" s="56" t="s">
        <v>16</v>
      </c>
      <c r="Q2" s="2" t="s">
        <v>17</v>
      </c>
    </row>
    <row r="3" spans="1:17" ht="15.75" thickBot="1">
      <c r="A3" s="3">
        <v>1</v>
      </c>
      <c r="B3" s="115" t="s">
        <v>18</v>
      </c>
      <c r="C3" s="4" t="s">
        <v>19</v>
      </c>
      <c r="D3" s="84" t="s">
        <v>136</v>
      </c>
      <c r="E3" s="43" t="s">
        <v>20</v>
      </c>
      <c r="F3" s="43" t="s">
        <v>21</v>
      </c>
      <c r="G3" s="63" t="s">
        <v>22</v>
      </c>
      <c r="H3" s="5" t="s">
        <v>23</v>
      </c>
      <c r="I3" s="44" t="s">
        <v>24</v>
      </c>
      <c r="J3" s="63">
        <v>6</v>
      </c>
      <c r="K3" s="63">
        <f t="shared" ref="K3:K33" si="0">J3*5</f>
        <v>30</v>
      </c>
      <c r="L3" s="85" t="s">
        <v>25</v>
      </c>
      <c r="M3" s="81">
        <v>0.1</v>
      </c>
      <c r="N3" s="82">
        <f>M3*J3</f>
        <v>0.60000000000000009</v>
      </c>
      <c r="O3" s="81">
        <v>3.1E-2</v>
      </c>
      <c r="P3" s="82">
        <f t="shared" ref="P3:P31" si="1">O3*K3</f>
        <v>0.92999999999999994</v>
      </c>
      <c r="Q3" s="34"/>
    </row>
    <row r="4" spans="1:17" ht="15.75" thickBot="1">
      <c r="A4" s="3">
        <v>2</v>
      </c>
      <c r="B4" s="116"/>
      <c r="C4" s="45" t="s">
        <v>137</v>
      </c>
      <c r="D4" s="69" t="s">
        <v>138</v>
      </c>
      <c r="E4" s="46" t="s">
        <v>20</v>
      </c>
      <c r="F4" s="48" t="s">
        <v>139</v>
      </c>
      <c r="G4" s="8" t="s">
        <v>22</v>
      </c>
      <c r="H4" s="58" t="s">
        <v>23</v>
      </c>
      <c r="I4" s="59" t="s">
        <v>140</v>
      </c>
      <c r="J4" s="8">
        <v>1</v>
      </c>
      <c r="K4" s="8">
        <f t="shared" si="0"/>
        <v>5</v>
      </c>
      <c r="L4" s="27" t="s">
        <v>25</v>
      </c>
      <c r="M4" s="21">
        <v>0.67</v>
      </c>
      <c r="N4" s="22">
        <f t="shared" ref="N4:N31" si="2">M4*J4</f>
        <v>0.67</v>
      </c>
      <c r="O4" s="21">
        <v>0.67</v>
      </c>
      <c r="P4" s="22">
        <f t="shared" si="1"/>
        <v>3.35</v>
      </c>
      <c r="Q4" s="62"/>
    </row>
    <row r="5" spans="1:17" ht="15" customHeight="1" thickBot="1">
      <c r="A5" s="3">
        <v>3</v>
      </c>
      <c r="B5" s="116"/>
      <c r="C5" s="45" t="s">
        <v>26</v>
      </c>
      <c r="D5" s="69" t="s">
        <v>27</v>
      </c>
      <c r="E5" s="46" t="s">
        <v>20</v>
      </c>
      <c r="F5" s="46" t="s">
        <v>28</v>
      </c>
      <c r="G5" s="8" t="s">
        <v>29</v>
      </c>
      <c r="H5" s="8" t="s">
        <v>23</v>
      </c>
      <c r="I5" s="7" t="s">
        <v>30</v>
      </c>
      <c r="J5" s="8">
        <v>2</v>
      </c>
      <c r="K5" s="8">
        <f t="shared" si="0"/>
        <v>10</v>
      </c>
      <c r="L5" s="20" t="s">
        <v>25</v>
      </c>
      <c r="M5" s="21">
        <v>0.37</v>
      </c>
      <c r="N5" s="22">
        <f t="shared" si="2"/>
        <v>0.74</v>
      </c>
      <c r="O5" s="21">
        <v>0.25800000000000001</v>
      </c>
      <c r="P5" s="22">
        <f t="shared" si="1"/>
        <v>2.58</v>
      </c>
      <c r="Q5" s="35"/>
    </row>
    <row r="6" spans="1:17" ht="15" customHeight="1" thickBot="1">
      <c r="A6" s="3">
        <v>4</v>
      </c>
      <c r="B6" s="117"/>
      <c r="C6" s="9" t="s">
        <v>31</v>
      </c>
      <c r="D6" s="70" t="s">
        <v>32</v>
      </c>
      <c r="E6" s="47" t="s">
        <v>20</v>
      </c>
      <c r="F6" s="47" t="s">
        <v>33</v>
      </c>
      <c r="G6" s="12" t="s">
        <v>22</v>
      </c>
      <c r="H6" s="12" t="s">
        <v>23</v>
      </c>
      <c r="I6" s="47" t="s">
        <v>34</v>
      </c>
      <c r="J6" s="12">
        <v>2</v>
      </c>
      <c r="K6" s="12">
        <f t="shared" si="0"/>
        <v>10</v>
      </c>
      <c r="L6" s="23" t="s">
        <v>25</v>
      </c>
      <c r="M6" s="24">
        <v>0.1</v>
      </c>
      <c r="N6" s="25">
        <f t="shared" si="2"/>
        <v>0.2</v>
      </c>
      <c r="O6" s="24">
        <v>3.5000000000000003E-2</v>
      </c>
      <c r="P6" s="25">
        <f t="shared" si="1"/>
        <v>0.35000000000000003</v>
      </c>
      <c r="Q6" s="36"/>
    </row>
    <row r="7" spans="1:17" ht="16.5" customHeight="1" thickBot="1">
      <c r="A7" s="3">
        <v>5</v>
      </c>
      <c r="B7" s="115" t="s">
        <v>35</v>
      </c>
      <c r="C7" s="77" t="s">
        <v>36</v>
      </c>
      <c r="D7" s="78" t="s">
        <v>156</v>
      </c>
      <c r="E7" s="79" t="s">
        <v>37</v>
      </c>
      <c r="F7" s="79" t="s">
        <v>38</v>
      </c>
      <c r="G7" s="63" t="s">
        <v>39</v>
      </c>
      <c r="H7" s="63" t="s">
        <v>23</v>
      </c>
      <c r="I7" s="63" t="s">
        <v>23</v>
      </c>
      <c r="J7" s="63">
        <v>1</v>
      </c>
      <c r="K7" s="63">
        <f t="shared" si="0"/>
        <v>5</v>
      </c>
      <c r="L7" s="80" t="s">
        <v>25</v>
      </c>
      <c r="M7" s="81">
        <v>0.37</v>
      </c>
      <c r="N7" s="82">
        <f t="shared" si="2"/>
        <v>0.37</v>
      </c>
      <c r="O7" s="81">
        <v>0.37</v>
      </c>
      <c r="P7" s="82">
        <f t="shared" si="1"/>
        <v>1.85</v>
      </c>
      <c r="Q7" s="83"/>
    </row>
    <row r="8" spans="1:17" ht="16.5" customHeight="1" thickBot="1">
      <c r="A8" s="3">
        <v>6</v>
      </c>
      <c r="B8" s="116"/>
      <c r="C8" s="45" t="s">
        <v>150</v>
      </c>
      <c r="D8" s="69" t="s">
        <v>141</v>
      </c>
      <c r="E8" s="46" t="s">
        <v>142</v>
      </c>
      <c r="F8" s="46" t="s">
        <v>143</v>
      </c>
      <c r="G8" s="8" t="s">
        <v>157</v>
      </c>
      <c r="H8" s="8" t="s">
        <v>23</v>
      </c>
      <c r="I8" s="8" t="s">
        <v>23</v>
      </c>
      <c r="J8" s="8">
        <v>1</v>
      </c>
      <c r="K8" s="8">
        <f t="shared" si="0"/>
        <v>5</v>
      </c>
      <c r="L8" s="27" t="s">
        <v>25</v>
      </c>
      <c r="M8" s="21">
        <v>0.39</v>
      </c>
      <c r="N8" s="22">
        <f t="shared" si="2"/>
        <v>0.39</v>
      </c>
      <c r="O8" s="21">
        <v>0.39</v>
      </c>
      <c r="P8" s="22">
        <f t="shared" si="1"/>
        <v>1.9500000000000002</v>
      </c>
      <c r="Q8" s="35"/>
    </row>
    <row r="9" spans="1:17" ht="16.5" customHeight="1" thickBot="1">
      <c r="A9" s="3">
        <v>7</v>
      </c>
      <c r="B9" s="116"/>
      <c r="C9" s="74" t="s">
        <v>158</v>
      </c>
      <c r="D9" s="73" t="s">
        <v>144</v>
      </c>
      <c r="E9" s="59" t="s">
        <v>142</v>
      </c>
      <c r="F9" s="50" t="s">
        <v>145</v>
      </c>
      <c r="G9" s="8" t="s">
        <v>157</v>
      </c>
      <c r="H9" s="58" t="s">
        <v>23</v>
      </c>
      <c r="I9" s="58" t="s">
        <v>23</v>
      </c>
      <c r="J9" s="58">
        <v>1</v>
      </c>
      <c r="K9" s="8">
        <f t="shared" si="0"/>
        <v>5</v>
      </c>
      <c r="L9" s="27" t="s">
        <v>25</v>
      </c>
      <c r="M9" s="21">
        <v>0.52</v>
      </c>
      <c r="N9" s="22">
        <f t="shared" si="2"/>
        <v>0.52</v>
      </c>
      <c r="O9" s="21">
        <v>0.52</v>
      </c>
      <c r="P9" s="22">
        <f t="shared" si="1"/>
        <v>2.6</v>
      </c>
      <c r="Q9" s="35"/>
    </row>
    <row r="10" spans="1:17" ht="16.5" customHeight="1" thickBot="1">
      <c r="A10" s="3">
        <v>8</v>
      </c>
      <c r="B10" s="116"/>
      <c r="C10" s="45" t="s">
        <v>159</v>
      </c>
      <c r="D10" s="69" t="s">
        <v>146</v>
      </c>
      <c r="E10" s="46" t="s">
        <v>142</v>
      </c>
      <c r="F10" s="48" t="s">
        <v>147</v>
      </c>
      <c r="G10" s="8" t="s">
        <v>157</v>
      </c>
      <c r="H10" s="8" t="s">
        <v>23</v>
      </c>
      <c r="I10" s="8" t="s">
        <v>23</v>
      </c>
      <c r="J10" s="8">
        <v>1</v>
      </c>
      <c r="K10" s="8">
        <f t="shared" si="0"/>
        <v>5</v>
      </c>
      <c r="L10" s="27" t="s">
        <v>25</v>
      </c>
      <c r="M10" s="21">
        <v>0.25</v>
      </c>
      <c r="N10" s="22">
        <f t="shared" si="2"/>
        <v>0.25</v>
      </c>
      <c r="O10" s="21">
        <v>0.25</v>
      </c>
      <c r="P10" s="22">
        <f t="shared" si="1"/>
        <v>1.25</v>
      </c>
      <c r="Q10" s="35"/>
    </row>
    <row r="11" spans="1:17" ht="16.5" customHeight="1" thickBot="1">
      <c r="A11" s="3">
        <v>9</v>
      </c>
      <c r="B11" s="117"/>
      <c r="C11" s="86" t="s">
        <v>160</v>
      </c>
      <c r="D11" s="70" t="s">
        <v>148</v>
      </c>
      <c r="E11" s="47" t="s">
        <v>142</v>
      </c>
      <c r="F11" s="47" t="s">
        <v>149</v>
      </c>
      <c r="G11" s="12" t="s">
        <v>157</v>
      </c>
      <c r="H11" s="12" t="s">
        <v>23</v>
      </c>
      <c r="I11" s="12" t="s">
        <v>23</v>
      </c>
      <c r="J11" s="12">
        <v>1</v>
      </c>
      <c r="K11" s="12">
        <f t="shared" si="0"/>
        <v>5</v>
      </c>
      <c r="L11" s="23" t="s">
        <v>25</v>
      </c>
      <c r="M11" s="24">
        <v>0.37</v>
      </c>
      <c r="N11" s="25">
        <f t="shared" si="2"/>
        <v>0.37</v>
      </c>
      <c r="O11" s="24">
        <v>0.37</v>
      </c>
      <c r="P11" s="25">
        <f t="shared" si="1"/>
        <v>1.85</v>
      </c>
      <c r="Q11" s="36"/>
    </row>
    <row r="12" spans="1:17" ht="15.75" thickBot="1">
      <c r="A12" s="3">
        <v>10</v>
      </c>
      <c r="B12" s="115" t="s">
        <v>40</v>
      </c>
      <c r="C12" s="75" t="s">
        <v>41</v>
      </c>
      <c r="D12" s="76" t="s">
        <v>42</v>
      </c>
      <c r="E12" s="43" t="s">
        <v>43</v>
      </c>
      <c r="F12" s="43" t="s">
        <v>44</v>
      </c>
      <c r="G12" s="5" t="s">
        <v>45</v>
      </c>
      <c r="H12" s="5" t="s">
        <v>23</v>
      </c>
      <c r="I12" s="5" t="s">
        <v>23</v>
      </c>
      <c r="J12" s="5">
        <v>1</v>
      </c>
      <c r="K12" s="5">
        <f t="shared" si="0"/>
        <v>5</v>
      </c>
      <c r="L12" s="26" t="s">
        <v>25</v>
      </c>
      <c r="M12" s="18">
        <v>0.44</v>
      </c>
      <c r="N12" s="19">
        <f t="shared" si="2"/>
        <v>0.44</v>
      </c>
      <c r="O12" s="18">
        <v>0.44</v>
      </c>
      <c r="P12" s="19">
        <f t="shared" si="1"/>
        <v>2.2000000000000002</v>
      </c>
      <c r="Q12" s="34"/>
    </row>
    <row r="13" spans="1:17" ht="15" customHeight="1" thickBot="1">
      <c r="A13" s="3">
        <v>11</v>
      </c>
      <c r="B13" s="116"/>
      <c r="C13" s="6" t="s">
        <v>46</v>
      </c>
      <c r="D13" s="69" t="s">
        <v>47</v>
      </c>
      <c r="E13" s="46" t="s">
        <v>48</v>
      </c>
      <c r="F13" s="46" t="s">
        <v>49</v>
      </c>
      <c r="G13" s="8" t="s">
        <v>45</v>
      </c>
      <c r="H13" s="8" t="s">
        <v>23</v>
      </c>
      <c r="I13" s="8" t="s">
        <v>23</v>
      </c>
      <c r="J13" s="8">
        <v>2</v>
      </c>
      <c r="K13" s="8">
        <f t="shared" si="0"/>
        <v>10</v>
      </c>
      <c r="L13" s="27" t="s">
        <v>25</v>
      </c>
      <c r="M13" s="21">
        <v>0.14000000000000001</v>
      </c>
      <c r="N13" s="22">
        <f t="shared" si="2"/>
        <v>0.28000000000000003</v>
      </c>
      <c r="O13" s="21">
        <v>0.13200000000000001</v>
      </c>
      <c r="P13" s="22">
        <f t="shared" si="1"/>
        <v>1.32</v>
      </c>
      <c r="Q13" s="35"/>
    </row>
    <row r="14" spans="1:17" ht="15" customHeight="1" thickBot="1">
      <c r="A14" s="3">
        <v>12</v>
      </c>
      <c r="B14" s="117"/>
      <c r="C14" s="9" t="s">
        <v>152</v>
      </c>
      <c r="D14" s="10" t="s">
        <v>153</v>
      </c>
      <c r="E14" s="47" t="s">
        <v>154</v>
      </c>
      <c r="F14" s="47" t="s">
        <v>155</v>
      </c>
      <c r="G14" s="12" t="s">
        <v>45</v>
      </c>
      <c r="H14" s="12" t="s">
        <v>23</v>
      </c>
      <c r="I14" s="12" t="s">
        <v>23</v>
      </c>
      <c r="J14" s="12">
        <v>1</v>
      </c>
      <c r="K14" s="12">
        <f>J14*5</f>
        <v>5</v>
      </c>
      <c r="L14" s="23" t="s">
        <v>25</v>
      </c>
      <c r="M14" s="24">
        <v>0.55000000000000004</v>
      </c>
      <c r="N14" s="25">
        <f>M14*J14</f>
        <v>0.55000000000000004</v>
      </c>
      <c r="O14" s="24">
        <v>0.55000000000000004</v>
      </c>
      <c r="P14" s="25">
        <f>O14*K14</f>
        <v>2.75</v>
      </c>
      <c r="Q14" s="36"/>
    </row>
    <row r="15" spans="1:17" ht="16.5" customHeight="1" thickBot="1">
      <c r="A15" s="3">
        <v>13</v>
      </c>
      <c r="B15" s="115" t="s">
        <v>50</v>
      </c>
      <c r="C15" s="4" t="s">
        <v>51</v>
      </c>
      <c r="D15" s="71" t="s">
        <v>52</v>
      </c>
      <c r="E15" s="44" t="s">
        <v>53</v>
      </c>
      <c r="F15" s="44" t="s">
        <v>54</v>
      </c>
      <c r="G15" s="5" t="s">
        <v>55</v>
      </c>
      <c r="H15" s="5" t="s">
        <v>23</v>
      </c>
      <c r="I15" s="44" t="s">
        <v>56</v>
      </c>
      <c r="J15" s="13">
        <v>5</v>
      </c>
      <c r="K15" s="5">
        <f t="shared" si="0"/>
        <v>25</v>
      </c>
      <c r="L15" s="26" t="s">
        <v>25</v>
      </c>
      <c r="M15" s="18">
        <v>0.1</v>
      </c>
      <c r="N15" s="19">
        <f t="shared" si="2"/>
        <v>0.5</v>
      </c>
      <c r="O15" s="18">
        <v>5.8000000000000003E-2</v>
      </c>
      <c r="P15" s="19">
        <f t="shared" si="1"/>
        <v>1.4500000000000002</v>
      </c>
      <c r="Q15" s="34"/>
    </row>
    <row r="16" spans="1:17" ht="15" customHeight="1" thickBot="1">
      <c r="A16" s="3">
        <v>14</v>
      </c>
      <c r="B16" s="116"/>
      <c r="C16" s="49" t="s">
        <v>57</v>
      </c>
      <c r="D16" s="69" t="s">
        <v>58</v>
      </c>
      <c r="E16" s="7" t="s">
        <v>59</v>
      </c>
      <c r="F16" s="46" t="s">
        <v>60</v>
      </c>
      <c r="G16" s="8" t="s">
        <v>61</v>
      </c>
      <c r="H16" s="8" t="s">
        <v>23</v>
      </c>
      <c r="I16" s="46" t="s">
        <v>56</v>
      </c>
      <c r="J16" s="7">
        <v>1</v>
      </c>
      <c r="K16" s="8">
        <f t="shared" si="0"/>
        <v>5</v>
      </c>
      <c r="L16" s="27" t="s">
        <v>25</v>
      </c>
      <c r="M16" s="21">
        <v>0.26</v>
      </c>
      <c r="N16" s="22">
        <f t="shared" si="2"/>
        <v>0.26</v>
      </c>
      <c r="O16" s="21">
        <v>0.26</v>
      </c>
      <c r="P16" s="22">
        <f t="shared" si="1"/>
        <v>1.3</v>
      </c>
      <c r="Q16" s="35"/>
    </row>
    <row r="17" spans="1:17" ht="15" customHeight="1" thickBot="1">
      <c r="A17" s="3">
        <v>15</v>
      </c>
      <c r="B17" s="116"/>
      <c r="C17" s="49" t="s">
        <v>62</v>
      </c>
      <c r="D17" s="69" t="s">
        <v>63</v>
      </c>
      <c r="E17" s="46" t="s">
        <v>53</v>
      </c>
      <c r="F17" s="46" t="s">
        <v>64</v>
      </c>
      <c r="G17" s="8" t="s">
        <v>65</v>
      </c>
      <c r="H17" s="8" t="s">
        <v>23</v>
      </c>
      <c r="I17" s="46" t="s">
        <v>66</v>
      </c>
      <c r="J17" s="7">
        <v>2</v>
      </c>
      <c r="K17" s="8">
        <f t="shared" si="0"/>
        <v>10</v>
      </c>
      <c r="L17" s="27" t="s">
        <v>25</v>
      </c>
      <c r="M17" s="21">
        <v>0.1</v>
      </c>
      <c r="N17" s="22">
        <f t="shared" si="2"/>
        <v>0.2</v>
      </c>
      <c r="O17" s="21">
        <v>0.1</v>
      </c>
      <c r="P17" s="22">
        <f t="shared" si="1"/>
        <v>1</v>
      </c>
      <c r="Q17" s="35"/>
    </row>
    <row r="18" spans="1:17" ht="15" customHeight="1" thickBot="1">
      <c r="A18" s="3">
        <v>16</v>
      </c>
      <c r="B18" s="116"/>
      <c r="C18" s="6" t="s">
        <v>67</v>
      </c>
      <c r="D18" s="69" t="s">
        <v>68</v>
      </c>
      <c r="E18" s="46" t="s">
        <v>53</v>
      </c>
      <c r="F18" s="46" t="s">
        <v>69</v>
      </c>
      <c r="G18" s="8" t="s">
        <v>65</v>
      </c>
      <c r="H18" s="14" t="s">
        <v>23</v>
      </c>
      <c r="I18" s="46" t="s">
        <v>70</v>
      </c>
      <c r="J18" s="7">
        <v>1</v>
      </c>
      <c r="K18" s="8">
        <f t="shared" si="0"/>
        <v>5</v>
      </c>
      <c r="L18" s="27" t="s">
        <v>25</v>
      </c>
      <c r="M18" s="21">
        <v>0.1</v>
      </c>
      <c r="N18" s="22">
        <f t="shared" si="2"/>
        <v>0.1</v>
      </c>
      <c r="O18" s="21">
        <v>0.1</v>
      </c>
      <c r="P18" s="22">
        <f t="shared" si="1"/>
        <v>0.5</v>
      </c>
      <c r="Q18" s="35"/>
    </row>
    <row r="19" spans="1:17" ht="15" customHeight="1" thickBot="1">
      <c r="A19" s="3">
        <v>17</v>
      </c>
      <c r="B19" s="116"/>
      <c r="C19" s="6" t="s">
        <v>71</v>
      </c>
      <c r="D19" s="69" t="s">
        <v>151</v>
      </c>
      <c r="E19" s="46" t="s">
        <v>53</v>
      </c>
      <c r="F19" s="46" t="s">
        <v>72</v>
      </c>
      <c r="G19" s="8" t="s">
        <v>65</v>
      </c>
      <c r="H19" s="8" t="s">
        <v>23</v>
      </c>
      <c r="I19" s="46" t="s">
        <v>73</v>
      </c>
      <c r="J19" s="7">
        <v>4</v>
      </c>
      <c r="K19" s="8">
        <f t="shared" si="0"/>
        <v>20</v>
      </c>
      <c r="L19" s="27" t="s">
        <v>25</v>
      </c>
      <c r="M19" s="22">
        <v>0.1</v>
      </c>
      <c r="N19" s="22">
        <f t="shared" si="2"/>
        <v>0.4</v>
      </c>
      <c r="O19" s="22">
        <v>2.4E-2</v>
      </c>
      <c r="P19" s="22">
        <f t="shared" si="1"/>
        <v>0.48</v>
      </c>
      <c r="Q19" s="37"/>
    </row>
    <row r="20" spans="1:17" ht="15" customHeight="1" thickBot="1">
      <c r="A20" s="3">
        <v>18</v>
      </c>
      <c r="B20" s="116"/>
      <c r="C20" s="49" t="s">
        <v>74</v>
      </c>
      <c r="D20" s="69" t="s">
        <v>75</v>
      </c>
      <c r="E20" s="46" t="s">
        <v>53</v>
      </c>
      <c r="F20" s="46" t="s">
        <v>76</v>
      </c>
      <c r="G20" s="8" t="s">
        <v>77</v>
      </c>
      <c r="H20" s="8" t="s">
        <v>23</v>
      </c>
      <c r="I20" s="7" t="s">
        <v>78</v>
      </c>
      <c r="J20" s="7">
        <v>1</v>
      </c>
      <c r="K20" s="8">
        <f t="shared" si="0"/>
        <v>5</v>
      </c>
      <c r="L20" s="27" t="s">
        <v>25</v>
      </c>
      <c r="M20" s="22">
        <v>0.1</v>
      </c>
      <c r="N20" s="22">
        <f t="shared" si="2"/>
        <v>0.1</v>
      </c>
      <c r="O20" s="22">
        <v>0.1</v>
      </c>
      <c r="P20" s="22">
        <f t="shared" si="1"/>
        <v>0.5</v>
      </c>
      <c r="Q20" s="37"/>
    </row>
    <row r="21" spans="1:17" ht="15" customHeight="1" thickBot="1">
      <c r="A21" s="3">
        <v>19</v>
      </c>
      <c r="B21" s="116"/>
      <c r="C21" s="49" t="s">
        <v>79</v>
      </c>
      <c r="D21" s="69" t="s">
        <v>80</v>
      </c>
      <c r="E21" s="46" t="s">
        <v>53</v>
      </c>
      <c r="F21" s="46" t="s">
        <v>81</v>
      </c>
      <c r="G21" s="8" t="s">
        <v>82</v>
      </c>
      <c r="H21" s="8" t="s">
        <v>23</v>
      </c>
      <c r="I21" s="7" t="s">
        <v>83</v>
      </c>
      <c r="J21" s="7">
        <v>1</v>
      </c>
      <c r="K21" s="8">
        <f t="shared" si="0"/>
        <v>5</v>
      </c>
      <c r="L21" s="27" t="s">
        <v>25</v>
      </c>
      <c r="M21" s="22">
        <v>0.1</v>
      </c>
      <c r="N21" s="22">
        <f t="shared" si="2"/>
        <v>0.1</v>
      </c>
      <c r="O21" s="22">
        <v>0.1</v>
      </c>
      <c r="P21" s="22">
        <f t="shared" si="1"/>
        <v>0.5</v>
      </c>
      <c r="Q21" s="37"/>
    </row>
    <row r="22" spans="1:17" ht="15" customHeight="1" thickBot="1">
      <c r="A22" s="3">
        <v>20</v>
      </c>
      <c r="B22" s="116"/>
      <c r="C22" s="6" t="s">
        <v>84</v>
      </c>
      <c r="D22" s="69" t="s">
        <v>85</v>
      </c>
      <c r="E22" s="46" t="s">
        <v>53</v>
      </c>
      <c r="F22" s="46" t="s">
        <v>86</v>
      </c>
      <c r="G22" s="8" t="s">
        <v>65</v>
      </c>
      <c r="H22" s="8" t="s">
        <v>23</v>
      </c>
      <c r="I22" s="7" t="s">
        <v>87</v>
      </c>
      <c r="J22" s="7">
        <v>1</v>
      </c>
      <c r="K22" s="8">
        <f t="shared" si="0"/>
        <v>5</v>
      </c>
      <c r="L22" s="27" t="s">
        <v>25</v>
      </c>
      <c r="M22" s="22">
        <v>0.1</v>
      </c>
      <c r="N22" s="22">
        <f t="shared" si="2"/>
        <v>0.1</v>
      </c>
      <c r="O22" s="22">
        <v>0.1</v>
      </c>
      <c r="P22" s="22">
        <f t="shared" si="1"/>
        <v>0.5</v>
      </c>
      <c r="Q22" s="37"/>
    </row>
    <row r="23" spans="1:17" ht="15" customHeight="1" thickBot="1">
      <c r="A23" s="3">
        <v>21</v>
      </c>
      <c r="B23" s="116"/>
      <c r="C23" s="49" t="s">
        <v>88</v>
      </c>
      <c r="D23" s="69" t="s">
        <v>89</v>
      </c>
      <c r="E23" s="46" t="s">
        <v>53</v>
      </c>
      <c r="F23" s="46" t="s">
        <v>90</v>
      </c>
      <c r="G23" s="8" t="s">
        <v>65</v>
      </c>
      <c r="H23" s="8" t="s">
        <v>23</v>
      </c>
      <c r="I23" s="7" t="s">
        <v>91</v>
      </c>
      <c r="J23" s="7">
        <v>1</v>
      </c>
      <c r="K23" s="8">
        <f t="shared" si="0"/>
        <v>5</v>
      </c>
      <c r="L23" s="27" t="s">
        <v>25</v>
      </c>
      <c r="M23" s="22">
        <v>0.1</v>
      </c>
      <c r="N23" s="22">
        <f t="shared" si="2"/>
        <v>0.1</v>
      </c>
      <c r="O23" s="22">
        <v>0.1</v>
      </c>
      <c r="P23" s="22">
        <f t="shared" si="1"/>
        <v>0.5</v>
      </c>
      <c r="Q23" s="37"/>
    </row>
    <row r="24" spans="1:17" ht="15.75" thickBot="1">
      <c r="A24" s="3">
        <v>22</v>
      </c>
      <c r="B24" s="117"/>
      <c r="C24" s="9" t="s">
        <v>92</v>
      </c>
      <c r="D24" s="70" t="s">
        <v>93</v>
      </c>
      <c r="E24" s="47" t="s">
        <v>53</v>
      </c>
      <c r="F24" s="47" t="s">
        <v>94</v>
      </c>
      <c r="G24" s="12" t="s">
        <v>65</v>
      </c>
      <c r="H24" s="12" t="s">
        <v>23</v>
      </c>
      <c r="I24" s="11" t="s">
        <v>95</v>
      </c>
      <c r="J24" s="11">
        <v>4</v>
      </c>
      <c r="K24" s="12">
        <f t="shared" si="0"/>
        <v>20</v>
      </c>
      <c r="L24" s="23" t="s">
        <v>25</v>
      </c>
      <c r="M24" s="25">
        <v>0.1</v>
      </c>
      <c r="N24" s="25">
        <f t="shared" si="2"/>
        <v>0.4</v>
      </c>
      <c r="O24" s="25">
        <v>0.1</v>
      </c>
      <c r="P24" s="25">
        <f t="shared" si="1"/>
        <v>2</v>
      </c>
      <c r="Q24" s="38"/>
    </row>
    <row r="25" spans="1:17" ht="16.5" thickBot="1">
      <c r="A25" s="3">
        <v>23</v>
      </c>
      <c r="B25" s="57" t="s">
        <v>96</v>
      </c>
      <c r="C25" s="120" t="s">
        <v>97</v>
      </c>
      <c r="D25" s="121" t="s">
        <v>98</v>
      </c>
      <c r="E25" s="122" t="s">
        <v>59</v>
      </c>
      <c r="F25" s="121" t="s">
        <v>99</v>
      </c>
      <c r="G25" s="123" t="s">
        <v>163</v>
      </c>
      <c r="H25" s="123" t="s">
        <v>169</v>
      </c>
      <c r="I25" s="124" t="s">
        <v>23</v>
      </c>
      <c r="J25" s="124">
        <v>1</v>
      </c>
      <c r="K25" s="124">
        <f t="shared" si="0"/>
        <v>5</v>
      </c>
      <c r="L25" s="125" t="s">
        <v>170</v>
      </c>
      <c r="M25" s="126">
        <v>1.2</v>
      </c>
      <c r="N25" s="126">
        <f t="shared" si="2"/>
        <v>1.2</v>
      </c>
      <c r="O25" s="126">
        <v>1.2</v>
      </c>
      <c r="P25" s="126">
        <f t="shared" si="1"/>
        <v>6</v>
      </c>
      <c r="Q25" s="108" t="s">
        <v>161</v>
      </c>
    </row>
    <row r="26" spans="1:17" ht="16.5" thickBot="1">
      <c r="A26" s="3">
        <v>24</v>
      </c>
      <c r="B26" s="15" t="s">
        <v>100</v>
      </c>
      <c r="C26" s="51" t="s">
        <v>101</v>
      </c>
      <c r="D26" s="72" t="s">
        <v>102</v>
      </c>
      <c r="E26" s="16" t="s">
        <v>59</v>
      </c>
      <c r="F26" s="52" t="s">
        <v>103</v>
      </c>
      <c r="G26" s="17" t="s">
        <v>104</v>
      </c>
      <c r="H26" s="17" t="s">
        <v>23</v>
      </c>
      <c r="I26" s="17" t="s">
        <v>23</v>
      </c>
      <c r="J26" s="17">
        <v>2</v>
      </c>
      <c r="K26" s="17">
        <f t="shared" si="0"/>
        <v>10</v>
      </c>
      <c r="L26" s="28" t="s">
        <v>25</v>
      </c>
      <c r="M26" s="29">
        <v>0.96</v>
      </c>
      <c r="N26" s="30">
        <f t="shared" si="2"/>
        <v>1.92</v>
      </c>
      <c r="O26" s="30">
        <v>0.92700000000000005</v>
      </c>
      <c r="P26" s="30">
        <f t="shared" si="1"/>
        <v>9.27</v>
      </c>
      <c r="Q26" s="39"/>
    </row>
    <row r="27" spans="1:17" ht="15" customHeight="1" thickBot="1">
      <c r="A27" s="3">
        <v>25</v>
      </c>
      <c r="B27" s="115" t="s">
        <v>105</v>
      </c>
      <c r="C27" s="109" t="s">
        <v>168</v>
      </c>
      <c r="D27" s="87" t="s">
        <v>106</v>
      </c>
      <c r="E27" s="88" t="s">
        <v>59</v>
      </c>
      <c r="F27" s="88" t="s">
        <v>167</v>
      </c>
      <c r="G27" s="89" t="s">
        <v>107</v>
      </c>
      <c r="H27" s="89" t="s">
        <v>23</v>
      </c>
      <c r="I27" s="89" t="s">
        <v>23</v>
      </c>
      <c r="J27" s="88">
        <v>1</v>
      </c>
      <c r="K27" s="89">
        <f t="shared" si="0"/>
        <v>5</v>
      </c>
      <c r="L27" s="90" t="s">
        <v>170</v>
      </c>
      <c r="M27" s="91">
        <v>4.8</v>
      </c>
      <c r="N27" s="92">
        <f t="shared" si="2"/>
        <v>4.8</v>
      </c>
      <c r="O27" s="92">
        <v>4.8</v>
      </c>
      <c r="P27" s="92">
        <f t="shared" si="1"/>
        <v>24</v>
      </c>
      <c r="Q27" s="108" t="s">
        <v>161</v>
      </c>
    </row>
    <row r="28" spans="1:17" ht="15" customHeight="1" thickBot="1">
      <c r="A28" s="3">
        <v>26</v>
      </c>
      <c r="B28" s="116"/>
      <c r="C28" s="6" t="s">
        <v>108</v>
      </c>
      <c r="D28" s="69" t="s">
        <v>109</v>
      </c>
      <c r="E28" s="46" t="s">
        <v>110</v>
      </c>
      <c r="F28" s="46" t="s">
        <v>111</v>
      </c>
      <c r="G28" s="8" t="s">
        <v>112</v>
      </c>
      <c r="H28" s="8" t="s">
        <v>23</v>
      </c>
      <c r="I28" s="8" t="s">
        <v>23</v>
      </c>
      <c r="J28" s="7">
        <v>1</v>
      </c>
      <c r="K28" s="8">
        <f t="shared" si="0"/>
        <v>5</v>
      </c>
      <c r="L28" s="27" t="s">
        <v>25</v>
      </c>
      <c r="M28" s="21">
        <v>0.43</v>
      </c>
      <c r="N28" s="22">
        <f t="shared" si="2"/>
        <v>0.43</v>
      </c>
      <c r="O28" s="22">
        <v>0.43</v>
      </c>
      <c r="P28" s="22">
        <f t="shared" si="1"/>
        <v>2.15</v>
      </c>
      <c r="Q28" s="40"/>
    </row>
    <row r="29" spans="1:17" ht="15" customHeight="1" thickBot="1">
      <c r="A29" s="3">
        <v>27</v>
      </c>
      <c r="B29" s="116"/>
      <c r="C29" s="6" t="s">
        <v>113</v>
      </c>
      <c r="D29" s="69" t="s">
        <v>114</v>
      </c>
      <c r="E29" s="46" t="s">
        <v>115</v>
      </c>
      <c r="F29" s="46" t="s">
        <v>116</v>
      </c>
      <c r="G29" s="8" t="s">
        <v>117</v>
      </c>
      <c r="H29" s="8" t="s">
        <v>23</v>
      </c>
      <c r="I29" s="8" t="s">
        <v>23</v>
      </c>
      <c r="J29" s="7">
        <v>1</v>
      </c>
      <c r="K29" s="8">
        <f t="shared" si="0"/>
        <v>5</v>
      </c>
      <c r="L29" s="27" t="s">
        <v>25</v>
      </c>
      <c r="M29" s="21">
        <v>1.1100000000000001</v>
      </c>
      <c r="N29" s="22">
        <f t="shared" si="2"/>
        <v>1.1100000000000001</v>
      </c>
      <c r="O29" s="22">
        <v>1.1100000000000001</v>
      </c>
      <c r="P29" s="22">
        <f t="shared" si="1"/>
        <v>5.5500000000000007</v>
      </c>
      <c r="Q29" s="41"/>
    </row>
    <row r="30" spans="1:17" ht="15" customHeight="1" thickBot="1">
      <c r="A30" s="3">
        <v>28</v>
      </c>
      <c r="B30" s="117"/>
      <c r="C30" s="53" t="s">
        <v>118</v>
      </c>
      <c r="D30" s="70" t="s">
        <v>119</v>
      </c>
      <c r="E30" s="11"/>
      <c r="F30" s="47" t="s">
        <v>120</v>
      </c>
      <c r="G30" s="12" t="s">
        <v>121</v>
      </c>
      <c r="H30" s="12" t="s">
        <v>23</v>
      </c>
      <c r="I30" s="12" t="s">
        <v>23</v>
      </c>
      <c r="J30" s="11">
        <v>1</v>
      </c>
      <c r="K30" s="12">
        <f t="shared" si="0"/>
        <v>5</v>
      </c>
      <c r="L30" s="93" t="s">
        <v>162</v>
      </c>
      <c r="M30" s="24">
        <v>1.88</v>
      </c>
      <c r="N30" s="25">
        <f t="shared" si="2"/>
        <v>1.88</v>
      </c>
      <c r="O30" s="25">
        <v>1.88</v>
      </c>
      <c r="P30" s="25">
        <f t="shared" si="1"/>
        <v>9.3999999999999986</v>
      </c>
      <c r="Q30" s="42"/>
    </row>
    <row r="31" spans="1:17" ht="15" customHeight="1" thickBot="1">
      <c r="A31" s="3">
        <v>29</v>
      </c>
      <c r="B31" s="118" t="s">
        <v>122</v>
      </c>
      <c r="C31" s="65" t="s">
        <v>123</v>
      </c>
      <c r="D31" s="59" t="s">
        <v>124</v>
      </c>
      <c r="E31" s="66" t="s">
        <v>59</v>
      </c>
      <c r="F31" s="59" t="s">
        <v>125</v>
      </c>
      <c r="G31" s="58" t="s">
        <v>126</v>
      </c>
      <c r="H31" s="58" t="s">
        <v>23</v>
      </c>
      <c r="I31" s="58" t="s">
        <v>23</v>
      </c>
      <c r="J31" s="67">
        <v>1</v>
      </c>
      <c r="K31" s="58">
        <f t="shared" si="0"/>
        <v>5</v>
      </c>
      <c r="L31" s="64" t="s">
        <v>25</v>
      </c>
      <c r="M31" s="60">
        <v>0.45</v>
      </c>
      <c r="N31" s="61">
        <f t="shared" si="2"/>
        <v>0.45</v>
      </c>
      <c r="O31" s="61">
        <v>0.45</v>
      </c>
      <c r="P31" s="61">
        <f t="shared" si="1"/>
        <v>2.25</v>
      </c>
      <c r="Q31" s="68"/>
    </row>
    <row r="32" spans="1:17" ht="16.5" thickBot="1">
      <c r="A32" s="3">
        <v>30</v>
      </c>
      <c r="B32" s="118"/>
      <c r="C32" s="94" t="s">
        <v>127</v>
      </c>
      <c r="D32" s="95" t="s">
        <v>128</v>
      </c>
      <c r="E32" s="95" t="s">
        <v>129</v>
      </c>
      <c r="F32" s="95" t="s">
        <v>129</v>
      </c>
      <c r="G32" s="95" t="s">
        <v>165</v>
      </c>
      <c r="H32" s="95" t="s">
        <v>165</v>
      </c>
      <c r="I32" s="96" t="s">
        <v>23</v>
      </c>
      <c r="J32" s="97">
        <v>1</v>
      </c>
      <c r="K32" s="96">
        <f t="shared" si="0"/>
        <v>5</v>
      </c>
      <c r="L32" s="104" t="s">
        <v>163</v>
      </c>
      <c r="M32" s="107" t="s">
        <v>164</v>
      </c>
      <c r="N32" s="107" t="s">
        <v>165</v>
      </c>
      <c r="O32" s="107" t="s">
        <v>163</v>
      </c>
      <c r="P32" s="107" t="s">
        <v>163</v>
      </c>
      <c r="Q32" s="98" t="s">
        <v>130</v>
      </c>
    </row>
    <row r="33" spans="1:17" ht="16.5" thickBot="1">
      <c r="A33" s="3">
        <v>31</v>
      </c>
      <c r="B33" s="119"/>
      <c r="C33" s="99" t="s">
        <v>131</v>
      </c>
      <c r="D33" s="100" t="s">
        <v>132</v>
      </c>
      <c r="E33" s="101" t="s">
        <v>59</v>
      </c>
      <c r="F33" s="100" t="s">
        <v>133</v>
      </c>
      <c r="G33" s="105" t="s">
        <v>164</v>
      </c>
      <c r="H33" s="105" t="s">
        <v>166</v>
      </c>
      <c r="I33" s="102" t="s">
        <v>23</v>
      </c>
      <c r="J33" s="101">
        <v>5</v>
      </c>
      <c r="K33" s="102">
        <f t="shared" si="0"/>
        <v>25</v>
      </c>
      <c r="L33" s="105" t="s">
        <v>163</v>
      </c>
      <c r="M33" s="106" t="s">
        <v>163</v>
      </c>
      <c r="N33" s="106" t="s">
        <v>164</v>
      </c>
      <c r="O33" s="106" t="s">
        <v>164</v>
      </c>
      <c r="P33" s="106" t="s">
        <v>163</v>
      </c>
      <c r="Q33" s="103" t="s">
        <v>130</v>
      </c>
    </row>
    <row r="34" spans="1:17" ht="19.5" thickBot="1">
      <c r="J34" s="113" t="s">
        <v>134</v>
      </c>
      <c r="K34" s="113"/>
      <c r="L34" s="113"/>
      <c r="M34" s="113"/>
      <c r="N34" s="31">
        <f>SUM(N3:N33)</f>
        <v>19.429999999999996</v>
      </c>
      <c r="O34" s="32"/>
      <c r="P34" s="31">
        <f>SUM(P3:P33)</f>
        <v>90.330000000000013</v>
      </c>
    </row>
    <row r="35" spans="1:17" ht="18.75">
      <c r="J35" s="114" t="s">
        <v>135</v>
      </c>
      <c r="K35" s="114"/>
      <c r="L35" s="114"/>
      <c r="M35" s="114"/>
      <c r="N35" s="33">
        <f>SUM(N3:N33)</f>
        <v>19.429999999999996</v>
      </c>
      <c r="O35" s="32"/>
      <c r="P35" s="33">
        <f>P34/5</f>
        <v>18.066000000000003</v>
      </c>
    </row>
  </sheetData>
  <mergeCells count="9">
    <mergeCell ref="A1:Q1"/>
    <mergeCell ref="J34:M34"/>
    <mergeCell ref="J35:M35"/>
    <mergeCell ref="B3:B6"/>
    <mergeCell ref="B31:B33"/>
    <mergeCell ref="B27:B30"/>
    <mergeCell ref="B15:B24"/>
    <mergeCell ref="B12:B14"/>
    <mergeCell ref="B7:B11"/>
  </mergeCells>
  <conditionalFormatting sqref="N32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{5531D9CC-373E-4430-9B56-53C028C0ED86}</x14:id>
        </ext>
      </extLst>
    </cfRule>
  </conditionalFormatting>
  <conditionalFormatting sqref="P3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{E13C99BD-6E4C-45E0-A140-10D1CF3D8422}</x14:id>
        </ext>
      </extLst>
    </cfRule>
  </conditionalFormatting>
  <conditionalFormatting sqref="N35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{01ED0170-F35D-4B94-844C-071310192F3A}</x14:id>
        </ext>
      </extLst>
    </cfRule>
  </conditionalFormatting>
  <conditionalFormatting sqref="P3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{968ED1B8-C4B8-4B42-B73F-D2978F9F5DD4}</x14:id>
        </ext>
      </extLst>
    </cfRule>
  </conditionalFormatting>
  <conditionalFormatting sqref="N15:N31 N33 N3:N13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{B5984C29-9DC6-44EE-A3E7-246EC6BEA848}</x14:id>
        </ext>
      </extLst>
    </cfRule>
  </conditionalFormatting>
  <conditionalFormatting sqref="P15:P31 P33 P3:P13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{9B316B94-E7D6-438B-BD62-C23C9F14363C}</x14:id>
        </ext>
      </extLst>
    </cfRule>
  </conditionalFormatting>
  <conditionalFormatting sqref="Q19:Q25 Q27">
    <cfRule type="dataBar" priority="3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{282CC97A-558B-4870-917C-CD43F2B170F2}</x14:id>
        </ext>
      </extLst>
    </cfRule>
  </conditionalFormatting>
  <conditionalFormatting sqref="K1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4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{F049E527-33E3-4BA8-8DF4-E7748DDD465C}</x14:id>
        </ext>
      </extLst>
    </cfRule>
  </conditionalFormatting>
  <conditionalFormatting sqref="P14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{96B8D3DE-C3C1-4D61-8DF6-9B58C23DAE01}</x14:id>
        </ext>
      </extLst>
    </cfRule>
  </conditionalFormatting>
  <conditionalFormatting sqref="K3:K13 K15:K33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:J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L3" r:id="rId1"/>
    <hyperlink ref="L6" r:id="rId2"/>
    <hyperlink ref="L7" r:id="rId3"/>
    <hyperlink ref="L12" r:id="rId4"/>
    <hyperlink ref="L15" r:id="rId5"/>
    <hyperlink ref="L16" r:id="rId6"/>
    <hyperlink ref="L17" r:id="rId7"/>
    <hyperlink ref="L18" r:id="rId8"/>
    <hyperlink ref="L19" r:id="rId9"/>
    <hyperlink ref="L26" r:id="rId10"/>
    <hyperlink ref="L28" r:id="rId11"/>
    <hyperlink ref="L29" r:id="rId12"/>
    <hyperlink ref="L31" r:id="rId13"/>
    <hyperlink ref="L5" r:id="rId14"/>
    <hyperlink ref="L13" r:id="rId15"/>
    <hyperlink ref="L20" r:id="rId16"/>
    <hyperlink ref="L21" r:id="rId17"/>
    <hyperlink ref="L22" r:id="rId18"/>
    <hyperlink ref="L23" r:id="rId19"/>
    <hyperlink ref="L24" r:id="rId20"/>
    <hyperlink ref="L14" r:id="rId21"/>
    <hyperlink ref="L4" r:id="rId22"/>
    <hyperlink ref="L8" r:id="rId23"/>
    <hyperlink ref="L9" r:id="rId24"/>
    <hyperlink ref="L10" r:id="rId25"/>
    <hyperlink ref="L11" r:id="rId26"/>
    <hyperlink ref="L30" r:id="rId27"/>
  </hyperlinks>
  <pageMargins left="0.7" right="0.7" top="0.75" bottom="0.75" header="0.3" footer="0.3"/>
  <pageSetup orientation="portrait" r:id="rId2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31D9CC-373E-4430-9B56-53C028C0ED8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N32</xm:sqref>
        </x14:conditionalFormatting>
        <x14:conditionalFormatting xmlns:xm="http://schemas.microsoft.com/office/excel/2006/main">
          <x14:cfRule type="dataBar" id="{E13C99BD-6E4C-45E0-A140-10D1CF3D84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P32</xm:sqref>
        </x14:conditionalFormatting>
        <x14:conditionalFormatting xmlns:xm="http://schemas.microsoft.com/office/excel/2006/main">
          <x14:cfRule type="dataBar" id="{01ED0170-F35D-4B94-844C-071310192F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N35</xm:sqref>
        </x14:conditionalFormatting>
        <x14:conditionalFormatting xmlns:xm="http://schemas.microsoft.com/office/excel/2006/main">
          <x14:cfRule type="dataBar" id="{968ED1B8-C4B8-4B42-B73F-D2978F9F5D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P35</xm:sqref>
        </x14:conditionalFormatting>
        <x14:conditionalFormatting xmlns:xm="http://schemas.microsoft.com/office/excel/2006/main">
          <x14:cfRule type="dataBar" id="{B5984C29-9DC6-44EE-A3E7-246EC6BEA84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N15:N31 N33 N3:N13</xm:sqref>
        </x14:conditionalFormatting>
        <x14:conditionalFormatting xmlns:xm="http://schemas.microsoft.com/office/excel/2006/main">
          <x14:cfRule type="dataBar" id="{9B316B94-E7D6-438B-BD62-C23C9F1436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P15:P31 P33 P3:P13</xm:sqref>
        </x14:conditionalFormatting>
        <x14:conditionalFormatting xmlns:xm="http://schemas.microsoft.com/office/excel/2006/main">
          <x14:cfRule type="dataBar" id="{282CC97A-558B-4870-917C-CD43F2B170F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Q19:Q25 Q27</xm:sqref>
        </x14:conditionalFormatting>
        <x14:conditionalFormatting xmlns:xm="http://schemas.microsoft.com/office/excel/2006/main">
          <x14:cfRule type="dataBar" id="{F049E527-33E3-4BA8-8DF4-E7748DDD465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N14</xm:sqref>
        </x14:conditionalFormatting>
        <x14:conditionalFormatting xmlns:xm="http://schemas.microsoft.com/office/excel/2006/main">
          <x14:cfRule type="dataBar" id="{96B8D3DE-C3C1-4D61-8DF6-9B58C23DAE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2021-03-12T10:24:00Z</dcterms:created>
  <dcterms:modified xsi:type="dcterms:W3CDTF">2021-11-10T16:08:46Z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7CF4C7291B1144E999C371CA94B01FC7</vt:lpwstr>
  </property>
  <property fmtid="{D5CDD505-2E9C-101B-9397-08002B2CF9AE}" pid="3" name="KSOProductBuildVer">
    <vt:lpwstr>1033-11.2.0.10265</vt:lpwstr>
  </property>
</Properties>
</file>