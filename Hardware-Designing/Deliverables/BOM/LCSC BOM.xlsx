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931"/>
  <workbookPr/>
  <mc:AlternateContent xmlns:mc="http://schemas.openxmlformats.org/markup-compatibility/2006">
    <mc:Choice Requires="x15">
      <x15ac:absPath xmlns:x15ac="http://schemas.microsoft.com/office/spreadsheetml/2010/11/ac" url="C:\GitHub\ShockSensor-George\Hardware-Designing\Deliverables\BOM\"/>
    </mc:Choice>
  </mc:AlternateContent>
  <xr:revisionPtr revIDLastSave="0" documentId="13_ncr:1_{5B1CEA09-7630-4711-87BA-1EDE794717C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38" i="1" l="1"/>
  <c r="S39" i="1"/>
  <c r="S38" i="1"/>
  <c r="L18" i="1"/>
  <c r="L17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" i="1"/>
  <c r="L16" i="1"/>
  <c r="L12" i="1"/>
  <c r="L8" i="1" l="1"/>
  <c r="L9" i="1"/>
  <c r="L10" i="1"/>
  <c r="L11" i="1"/>
  <c r="L4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5" i="1"/>
  <c r="L14" i="1"/>
  <c r="L13" i="1"/>
  <c r="L7" i="1"/>
  <c r="L6" i="1"/>
  <c r="L5" i="1"/>
  <c r="L3" i="1"/>
</calcChain>
</file>

<file path=xl/sharedStrings.xml><?xml version="1.0" encoding="utf-8"?>
<sst xmlns="http://schemas.openxmlformats.org/spreadsheetml/2006/main" count="366" uniqueCount="225">
  <si>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</si>
  <si>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</si>
  <si>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</si>
  <si>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</si>
  <si>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</si>
  <si>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</si>
  <si>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</si>
  <si>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LCSC Part no:</t>
  </si>
  <si>
    <t>Alternate</t>
  </si>
  <si>
    <t>Value</t>
  </si>
  <si>
    <t>Quantity (Per Board)</t>
  </si>
  <si>
    <t>Quantity 5</t>
  </si>
  <si>
    <t>LCSC Link</t>
  </si>
  <si>
    <t>Unit Cost(1)</t>
  </si>
  <si>
    <t>Total Cost(1)</t>
  </si>
  <si>
    <t>Unit Cost (5 Boards)</t>
  </si>
  <si>
    <t>Total Cost (5)</t>
  </si>
  <si>
    <t>Remarks</t>
  </si>
  <si>
    <t>Capacitors</t>
  </si>
  <si>
    <t xml:space="preserve">CAP CER 0.1UF 50V X7R 0603
</t>
  </si>
  <si>
    <t>CAP-0603</t>
  </si>
  <si>
    <t>CL10B104KB8NNNL</t>
  </si>
  <si>
    <t xml:space="preserve">Samsung 
</t>
  </si>
  <si>
    <t xml:space="preserve">C76711
</t>
  </si>
  <si>
    <t>CGA3E2X7R1H104KT0Y0N</t>
  </si>
  <si>
    <t>0.1uF</t>
  </si>
  <si>
    <t>LCSC</t>
  </si>
  <si>
    <t>CAP CER 4.7UF 25V X5R 0603</t>
  </si>
  <si>
    <t>C10, C12</t>
  </si>
  <si>
    <t>GRM188R61E475KE11D</t>
  </si>
  <si>
    <t>Murata</t>
  </si>
  <si>
    <t>C90057</t>
  </si>
  <si>
    <t>-</t>
  </si>
  <si>
    <t>4.7uF</t>
  </si>
  <si>
    <t xml:space="preserve">CAP CER 1UF 25V X5R 0603
</t>
  </si>
  <si>
    <t>C5, C6</t>
  </si>
  <si>
    <t>CL10A105KA8NNNC</t>
  </si>
  <si>
    <t>C5673</t>
  </si>
  <si>
    <t>1uF</t>
  </si>
  <si>
    <t>LED</t>
  </si>
  <si>
    <t>LED GREEN CLEAR CHIP SMD</t>
  </si>
  <si>
    <t>LED 0402</t>
  </si>
  <si>
    <t>XZVG68W-2</t>
  </si>
  <si>
    <t>SunLED</t>
  </si>
  <si>
    <t>C273602</t>
  </si>
  <si>
    <t xml:space="preserve">TJ-S1005SW4TGLC2G-A5
</t>
  </si>
  <si>
    <t>Mosfet</t>
  </si>
  <si>
    <t>MOSFET N-Channel 60V 0.115A SOT523</t>
  </si>
  <si>
    <t>Q1</t>
  </si>
  <si>
    <t>SOT-523</t>
  </si>
  <si>
    <t>2N7002T-7-F</t>
  </si>
  <si>
    <t xml:space="preserve">Diodes 
</t>
  </si>
  <si>
    <t>C139445</t>
  </si>
  <si>
    <t xml:space="preserve">TRANS NPN 40V 0.6A SMD SOT23-3
</t>
  </si>
  <si>
    <t>Q2, Q3</t>
  </si>
  <si>
    <t>sot-23</t>
  </si>
  <si>
    <t>MMBT2222A-7-F</t>
  </si>
  <si>
    <t>C94515</t>
  </si>
  <si>
    <t xml:space="preserve">MOSFET N/P-CH 60V/50V SC70-6
</t>
  </si>
  <si>
    <t>SOT-363</t>
  </si>
  <si>
    <t>BSS8402DW-7-F</t>
  </si>
  <si>
    <t xml:space="preserve">C156386
</t>
  </si>
  <si>
    <t>Resistors</t>
  </si>
  <si>
    <t xml:space="preserve">RES SMD 10K OHM 5% 1/5W 0603
</t>
  </si>
  <si>
    <t>RES-0603</t>
  </si>
  <si>
    <t>CRGH0603J10K</t>
  </si>
  <si>
    <t>TE Connectivity</t>
  </si>
  <si>
    <t>C103210</t>
  </si>
  <si>
    <t>RTT03103JTP</t>
  </si>
  <si>
    <t>10K</t>
  </si>
  <si>
    <t>TRIMMER 10K OHM 0.1W J LEAD TOP</t>
  </si>
  <si>
    <t>R7</t>
  </si>
  <si>
    <t>Custom</t>
  </si>
  <si>
    <t>TC33X-2-103E</t>
  </si>
  <si>
    <t xml:space="preserve">Bourns Inc.
</t>
  </si>
  <si>
    <t>Local Supplier</t>
  </si>
  <si>
    <t>RES SMD 4.7K OHM 1% 1/10W 0603</t>
  </si>
  <si>
    <t>R9, R26</t>
  </si>
  <si>
    <t>RC0603FR-074K7L</t>
  </si>
  <si>
    <t>YAGEO</t>
  </si>
  <si>
    <t>C99782</t>
  </si>
  <si>
    <t>4.7K</t>
  </si>
  <si>
    <t xml:space="preserve">RES 470K OHM 1% 1/10W 0603
</t>
  </si>
  <si>
    <t>R10</t>
  </si>
  <si>
    <t>RC0603FR-13470KL</t>
  </si>
  <si>
    <t>C103658</t>
  </si>
  <si>
    <t>RTT034703FTP</t>
  </si>
  <si>
    <t>470K</t>
  </si>
  <si>
    <t xml:space="preserve">RES SMD 560 OHM 1% 1/10W 0603
</t>
  </si>
  <si>
    <t>R12, R13, R14</t>
  </si>
  <si>
    <t>RC0603FR-07560RL</t>
  </si>
  <si>
    <t>C114629</t>
  </si>
  <si>
    <t>560R</t>
  </si>
  <si>
    <t>RES 1K OHM 5% 1/10W 0603</t>
  </si>
  <si>
    <t>R18</t>
  </si>
  <si>
    <t>RMCF0603JJ1K00</t>
  </si>
  <si>
    <t xml:space="preserve">Stackpole </t>
  </si>
  <si>
    <t>C103209</t>
  </si>
  <si>
    <t>1K</t>
  </si>
  <si>
    <t>RES SMD 22.1K OHM 1% 1/10W 0603</t>
  </si>
  <si>
    <t>R19</t>
  </si>
  <si>
    <t>ERJ-3EKF2212V</t>
  </si>
  <si>
    <t xml:space="preserve">Panasonic </t>
  </si>
  <si>
    <t>C25961</t>
  </si>
  <si>
    <t>22.1K</t>
  </si>
  <si>
    <t xml:space="preserve">RES 47.5K OHM 1% 1/10W 0603
</t>
  </si>
  <si>
    <t>R20</t>
  </si>
  <si>
    <t>RC0603FR-0747K5L</t>
  </si>
  <si>
    <t>C137715</t>
  </si>
  <si>
    <t xml:space="preserve">RES 100K OHM 5% 1/10W 0603
</t>
  </si>
  <si>
    <t>R22, R23, R24, R25</t>
  </si>
  <si>
    <t>RC0603JR-07100KL</t>
  </si>
  <si>
    <t xml:space="preserve">C100048
</t>
  </si>
  <si>
    <t>100K</t>
  </si>
  <si>
    <t>Sensor</t>
  </si>
  <si>
    <t>Vibration sensor</t>
  </si>
  <si>
    <t>S1</t>
  </si>
  <si>
    <t>SW-420</t>
  </si>
  <si>
    <t>Switch</t>
  </si>
  <si>
    <t>SWITCH TACTILE SPST-NO 0.05A 12V</t>
  </si>
  <si>
    <t>SW1, SW2</t>
  </si>
  <si>
    <t>B3U-1000P</t>
  </si>
  <si>
    <t xml:space="preserve">Omron </t>
  </si>
  <si>
    <t>C231329</t>
  </si>
  <si>
    <t>IC</t>
  </si>
  <si>
    <t>U1</t>
  </si>
  <si>
    <t xml:space="preserve">Espressif Systems
</t>
  </si>
  <si>
    <t xml:space="preserve">IC COMP DUAL VOLT LP 8SOIC
</t>
  </si>
  <si>
    <t>U3</t>
  </si>
  <si>
    <t>8-SOIC</t>
  </si>
  <si>
    <t>LM393ADT</t>
  </si>
  <si>
    <t>STMicroelectronics</t>
  </si>
  <si>
    <t>C136033</t>
  </si>
  <si>
    <t xml:space="preserve">IC REG LINEAR 3.3V 1A 6DFN
</t>
  </si>
  <si>
    <t>U4</t>
  </si>
  <si>
    <t>6-DFN (3x3)</t>
  </si>
  <si>
    <t>NCP692MN33T2G</t>
  </si>
  <si>
    <t>onsemi</t>
  </si>
  <si>
    <t>C145519</t>
  </si>
  <si>
    <t>IC USB TO UART BRIDGE QFN24</t>
  </si>
  <si>
    <t>U5</t>
  </si>
  <si>
    <t>QFN-24_4x4</t>
  </si>
  <si>
    <t>CP2102N-A02-GQFN24R</t>
  </si>
  <si>
    <t xml:space="preserve">Silicon Labs
</t>
  </si>
  <si>
    <t>C969151</t>
  </si>
  <si>
    <t>Connector</t>
  </si>
  <si>
    <t>CONN RCPT USB2.0 MICRO B SMD R/A</t>
  </si>
  <si>
    <t>J1</t>
  </si>
  <si>
    <t>10118194-0001LF</t>
  </si>
  <si>
    <t xml:space="preserve">Amphenol </t>
  </si>
  <si>
    <t>C132563</t>
  </si>
  <si>
    <t>Solder Bridge ON</t>
  </si>
  <si>
    <t>SB1</t>
  </si>
  <si>
    <t>Solder Bridge</t>
  </si>
  <si>
    <t>Test Point ON</t>
  </si>
  <si>
    <t>P1, P2, P3, P4, P5</t>
  </si>
  <si>
    <t>TEST POINT</t>
  </si>
  <si>
    <t xml:space="preserve">Total Component Cost </t>
  </si>
  <si>
    <t>Single Board Cost</t>
  </si>
  <si>
    <t xml:space="preserve">LED RED CLEAR T/H
</t>
  </si>
  <si>
    <t>LED2</t>
  </si>
  <si>
    <t>Through_Hole_LED</t>
  </si>
  <si>
    <t>204-10SURT/S530-A3</t>
  </si>
  <si>
    <t xml:space="preserve">Everlight </t>
  </si>
  <si>
    <t>LED3</t>
  </si>
  <si>
    <t>204-10UYOC/S530-A3-L</t>
  </si>
  <si>
    <t xml:space="preserve">3MM YELLOW GREEN LED LAMP
</t>
  </si>
  <si>
    <t>LED4</t>
  </si>
  <si>
    <t>204-10SYGC/S530-E2-L</t>
  </si>
  <si>
    <t xml:space="preserve">LED BLUE CLEAR 3MM T/H
</t>
  </si>
  <si>
    <t>LED5</t>
  </si>
  <si>
    <t>204-10SUBC/C470/S400-A4</t>
  </si>
  <si>
    <t>CAP CER 22UF 16V X5R 0603</t>
  </si>
  <si>
    <t>C1</t>
  </si>
  <si>
    <t>CL10A226MO7JZNC</t>
  </si>
  <si>
    <t>C2, C3, C4, C11, C13, C14</t>
  </si>
  <si>
    <t>C2762594</t>
  </si>
  <si>
    <t>22uF</t>
  </si>
  <si>
    <t>LED1</t>
  </si>
  <si>
    <t>Q4</t>
  </si>
  <si>
    <t xml:space="preserve">LED ORANGE CLEAR 3MM T/H
</t>
  </si>
  <si>
    <t>C282135</t>
  </si>
  <si>
    <t>C99759</t>
  </si>
  <si>
    <t>C282136</t>
  </si>
  <si>
    <t>C86726</t>
  </si>
  <si>
    <t>47.5K</t>
  </si>
  <si>
    <t>Non Stock in LCSC</t>
  </si>
  <si>
    <t>DONOT MOUNT</t>
  </si>
  <si>
    <t>ESP32-S2-WROOM-I(4M)</t>
  </si>
  <si>
    <t xml:space="preserve">18x31x3.3mm WiFi Modules ROHS
</t>
  </si>
  <si>
    <t xml:space="preserve">C967026
</t>
  </si>
  <si>
    <t>Chipmall</t>
  </si>
  <si>
    <t>Diode</t>
  </si>
  <si>
    <t>DIODE GEN PURP 50V 215MA SOT23</t>
  </si>
  <si>
    <t>D1</t>
  </si>
  <si>
    <t>BAL74,215</t>
  </si>
  <si>
    <t xml:space="preserve">Nexperia </t>
  </si>
  <si>
    <t>MOSFET N-CH 50V 200MA SOT-23</t>
  </si>
  <si>
    <t>Q5</t>
  </si>
  <si>
    <t>BSS138LT1G</t>
  </si>
  <si>
    <t>R2, R6, R8, R11, R15, R16</t>
  </si>
  <si>
    <t>RES SMD 47 OHM 0.1% 1/10W 0603</t>
  </si>
  <si>
    <t>R1</t>
  </si>
  <si>
    <t>RT0603BRD0747RL</t>
  </si>
  <si>
    <t>47R</t>
  </si>
  <si>
    <t>Inductor</t>
  </si>
  <si>
    <t>FERRITE BEAD 600 OHM 0201 1LN</t>
  </si>
  <si>
    <t>L1</t>
  </si>
  <si>
    <t>IND 0201</t>
  </si>
  <si>
    <t>MMZ0603S601CT000</t>
  </si>
  <si>
    <t xml:space="preserve">
TDK Corporation</t>
  </si>
  <si>
    <t>Buzzer</t>
  </si>
  <si>
    <t>NO 2700Hz 85dB @ 3V, 10cm 3V Φ9mm SMD,9x3.2mm Buzzers RoHS</t>
  </si>
  <si>
    <t>LS1</t>
  </si>
  <si>
    <t>YS-SBZ9032C03R16</t>
  </si>
  <si>
    <t xml:space="preserve">Fengming </t>
  </si>
  <si>
    <t>LCSC MOQ (1)</t>
  </si>
  <si>
    <t>LCSC MOQ (5)</t>
  </si>
  <si>
    <t>C461224</t>
  </si>
  <si>
    <t>C82045</t>
  </si>
  <si>
    <t>C275404</t>
  </si>
  <si>
    <t>C409828</t>
  </si>
  <si>
    <t>C326724</t>
  </si>
  <si>
    <t>Less Stock in LCSC</t>
  </si>
  <si>
    <t>Bill of Material (BOM) for  George (Rack Monitor)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</si>
</sst>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0"/>
    <numFmt numFmtId="165" formatCode="_-[$$-409]* #,##0.00_ ;_-[$$-409]* \-#,##0.00\ ;_-[$$-409]* &quot;-&quot;??_ ;_-@_ "/>
    <numFmt numFmtId="166" formatCode="&quot;$&quot;#,##0.0000"/>
  </numFmts>
  <fonts count="18">
    <font>
      <sz val="11"/>
      <color theme="1"/>
      <name val="Calibri"/>
      <charset val="134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4"/>
      <name val="Calibri"/>
      <family val="2"/>
      <scheme val="minor"/>
    </font>
    <font>
      <sz val="10"/>
      <color rgb="FFFF0000"/>
      <name val="Calibri"/>
      <family val="2"/>
    </font>
    <font>
      <sz val="10"/>
      <name val="Calibri"/>
      <family val="2"/>
    </font>
    <font>
      <u/>
      <sz val="10"/>
      <color theme="10"/>
      <name val="Arial"/>
      <family val="2"/>
    </font>
    <font>
      <b/>
      <sz val="10"/>
      <color theme="1"/>
      <name val="Calibri"/>
      <family val="2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0"/>
      <color rgb="FF80008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44">
    <border>
      <left/>
      <right/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</cellStyleXfs>
  <cellXfs count="18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4" fillId="0" borderId="7" xfId="0" applyFont="1" applyFill="1" applyBorder="1" applyAlignment="1">
      <alignment vertical="center"/>
    </xf>
    <xf numFmtId="0" fontId="4" fillId="3" borderId="8" xfId="0" applyFont="1" applyFill="1" applyBorder="1" applyAlignment="1">
      <alignment horizontal="center" vertical="center"/>
    </xf>
    <xf numFmtId="0" fontId="4" fillId="0" borderId="10" xfId="0" applyFont="1" applyFill="1" applyBorder="1" applyAlignment="1">
      <alignment vertical="center"/>
    </xf>
    <xf numFmtId="0" fontId="4" fillId="0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vertical="center"/>
    </xf>
    <xf numFmtId="0" fontId="4" fillId="0" borderId="14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/>
    </xf>
    <xf numFmtId="0" fontId="4" fillId="0" borderId="8" xfId="0" applyFont="1" applyFill="1" applyBorder="1" applyAlignment="1">
      <alignment horizontal="center" vertical="center" wrapText="1"/>
    </xf>
    <xf numFmtId="0" fontId="3" fillId="0" borderId="3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164" fontId="6" fillId="3" borderId="11" xfId="0" applyNumberFormat="1" applyFont="1" applyFill="1" applyBorder="1" applyAlignment="1">
      <alignment horizontal="center" vertical="center"/>
    </xf>
    <xf numFmtId="165" fontId="8" fillId="3" borderId="0" xfId="0" applyNumberFormat="1" applyFont="1" applyFill="1" applyBorder="1" applyAlignment="1"/>
    <xf numFmtId="0" fontId="1" fillId="2" borderId="21" xfId="0" applyFont="1" applyFill="1" applyBorder="1" applyAlignment="1">
      <alignment horizontal="center" vertical="center"/>
    </xf>
    <xf numFmtId="164" fontId="5" fillId="3" borderId="22" xfId="0" applyNumberFormat="1" applyFont="1" applyFill="1" applyBorder="1" applyAlignment="1">
      <alignment vertical="center"/>
    </xf>
    <xf numFmtId="164" fontId="5" fillId="3" borderId="23" xfId="0" applyNumberFormat="1" applyFont="1" applyFill="1" applyBorder="1" applyAlignment="1">
      <alignment vertical="center"/>
    </xf>
    <xf numFmtId="164" fontId="5" fillId="3" borderId="24" xfId="0" applyNumberFormat="1" applyFont="1" applyFill="1" applyBorder="1" applyAlignment="1">
      <alignment vertical="center"/>
    </xf>
    <xf numFmtId="164" fontId="6" fillId="3" borderId="23" xfId="0" applyNumberFormat="1" applyFont="1" applyFill="1" applyBorder="1" applyAlignment="1">
      <alignment vertical="center"/>
    </xf>
    <xf numFmtId="164" fontId="5" fillId="3" borderId="23" xfId="0" applyNumberFormat="1" applyFont="1" applyFill="1" applyBorder="1" applyAlignment="1">
      <alignment vertical="center" wrapText="1"/>
    </xf>
    <xf numFmtId="165" fontId="9" fillId="3" borderId="23" xfId="0" applyNumberFormat="1" applyFont="1" applyFill="1" applyBorder="1" applyAlignment="1">
      <alignment vertical="center"/>
    </xf>
    <xf numFmtId="165" fontId="10" fillId="3" borderId="23" xfId="0" applyNumberFormat="1" applyFont="1" applyFill="1" applyBorder="1" applyAlignment="1"/>
    <xf numFmtId="0" fontId="6" fillId="3" borderId="23" xfId="0" applyFont="1" applyFill="1" applyBorder="1" applyAlignment="1"/>
    <xf numFmtId="0" fontId="6" fillId="0" borderId="23" xfId="0" applyFont="1" applyBorder="1" applyAlignment="1"/>
    <xf numFmtId="0" fontId="6" fillId="0" borderId="24" xfId="0" applyFont="1" applyBorder="1" applyAlignment="1"/>
    <xf numFmtId="0" fontId="4" fillId="3" borderId="8" xfId="0" quotePrefix="1" applyFont="1" applyFill="1" applyBorder="1" applyAlignment="1">
      <alignment horizontal="center" vertical="center" wrapText="1"/>
    </xf>
    <xf numFmtId="0" fontId="4" fillId="0" borderId="8" xfId="0" quotePrefix="1" applyFont="1" applyFill="1" applyBorder="1" applyAlignment="1">
      <alignment horizontal="center" vertical="center"/>
    </xf>
    <xf numFmtId="0" fontId="4" fillId="0" borderId="8" xfId="0" quotePrefix="1" applyFont="1" applyFill="1" applyBorder="1" applyAlignment="1">
      <alignment horizontal="center" vertical="center" wrapText="1"/>
    </xf>
    <xf numFmtId="0" fontId="4" fillId="0" borderId="10" xfId="0" quotePrefix="1" applyFont="1" applyFill="1" applyBorder="1" applyAlignment="1">
      <alignment vertical="center"/>
    </xf>
    <xf numFmtId="0" fontId="4" fillId="3" borderId="11" xfId="0" quotePrefix="1" applyFont="1" applyFill="1" applyBorder="1" applyAlignment="1">
      <alignment horizontal="center" vertical="center" wrapText="1"/>
    </xf>
    <xf numFmtId="0" fontId="4" fillId="0" borderId="11" xfId="0" quotePrefix="1" applyFont="1" applyFill="1" applyBorder="1" applyAlignment="1">
      <alignment horizontal="center" vertical="center" wrapText="1"/>
    </xf>
    <xf numFmtId="0" fontId="4" fillId="3" borderId="14" xfId="0" quotePrefix="1" applyFont="1" applyFill="1" applyBorder="1" applyAlignment="1">
      <alignment horizontal="center" vertical="center" wrapText="1"/>
    </xf>
    <xf numFmtId="0" fontId="4" fillId="0" borderId="14" xfId="0" quotePrefix="1" applyFont="1" applyFill="1" applyBorder="1" applyAlignment="1">
      <alignment horizontal="center" vertical="center" wrapText="1"/>
    </xf>
    <xf numFmtId="0" fontId="4" fillId="0" borderId="13" xfId="0" quotePrefix="1" applyFont="1" applyFill="1" applyBorder="1" applyAlignment="1">
      <alignment vertical="center"/>
    </xf>
    <xf numFmtId="0" fontId="4" fillId="3" borderId="26" xfId="0" applyFont="1" applyFill="1" applyBorder="1" applyAlignment="1">
      <alignment horizontal="center" vertical="center"/>
    </xf>
    <xf numFmtId="0" fontId="4" fillId="0" borderId="26" xfId="0" quotePrefix="1" applyFont="1" applyFill="1" applyBorder="1" applyAlignment="1">
      <alignment horizontal="center" vertical="center" wrapText="1"/>
    </xf>
    <xf numFmtId="164" fontId="5" fillId="3" borderId="27" xfId="0" applyNumberFormat="1" applyFont="1" applyFill="1" applyBorder="1" applyAlignment="1">
      <alignment vertical="center"/>
    </xf>
    <xf numFmtId="0" fontId="4" fillId="0" borderId="28" xfId="0" quotePrefix="1" applyFont="1" applyFill="1" applyBorder="1" applyAlignment="1">
      <alignment horizontal="center" vertical="center" wrapText="1"/>
    </xf>
    <xf numFmtId="0" fontId="4" fillId="3" borderId="2" xfId="0" quotePrefix="1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vertical="center" wrapText="1"/>
    </xf>
    <xf numFmtId="0" fontId="4" fillId="0" borderId="29" xfId="0" quotePrefix="1" applyFont="1" applyFill="1" applyBorder="1" applyAlignment="1">
      <alignment vertical="center"/>
    </xf>
    <xf numFmtId="0" fontId="13" fillId="4" borderId="10" xfId="0" quotePrefix="1" applyFont="1" applyFill="1" applyBorder="1" applyAlignment="1">
      <alignment horizontal="left" vertical="center" wrapText="1"/>
    </xf>
    <xf numFmtId="0" fontId="13" fillId="4" borderId="11" xfId="0" quotePrefix="1" applyFont="1" applyFill="1" applyBorder="1" applyAlignment="1">
      <alignment horizontal="center" vertical="center" wrapText="1"/>
    </xf>
    <xf numFmtId="0" fontId="13" fillId="4" borderId="13" xfId="0" quotePrefix="1" applyFont="1" applyFill="1" applyBorder="1" applyAlignment="1">
      <alignment horizontal="left" vertical="center" wrapText="1"/>
    </xf>
    <xf numFmtId="0" fontId="13" fillId="4" borderId="14" xfId="0" quotePrefix="1" applyFont="1" applyFill="1" applyBorder="1" applyAlignment="1">
      <alignment horizontal="center" vertical="center" wrapText="1"/>
    </xf>
    <xf numFmtId="0" fontId="13" fillId="4" borderId="11" xfId="0" applyFont="1" applyFill="1" applyBorder="1" applyAlignment="1">
      <alignment horizontal="center" vertical="center"/>
    </xf>
    <xf numFmtId="0" fontId="13" fillId="4" borderId="14" xfId="0" applyFont="1" applyFill="1" applyBorder="1" applyAlignment="1">
      <alignment horizontal="center" vertical="center"/>
    </xf>
    <xf numFmtId="0" fontId="13" fillId="4" borderId="11" xfId="0" quotePrefix="1" applyFont="1" applyFill="1" applyBorder="1" applyAlignment="1">
      <alignment horizontal="center" vertical="center"/>
    </xf>
    <xf numFmtId="0" fontId="13" fillId="0" borderId="11" xfId="0" applyFont="1" applyBorder="1" applyAlignment="1">
      <alignment horizontal="center" vertical="center" wrapText="1"/>
    </xf>
    <xf numFmtId="0" fontId="13" fillId="4" borderId="31" xfId="0" quotePrefix="1" applyFont="1" applyFill="1" applyBorder="1" applyAlignment="1">
      <alignment horizontal="center" vertical="center"/>
    </xf>
    <xf numFmtId="166" fontId="13" fillId="4" borderId="11" xfId="0" quotePrefix="1" applyNumberFormat="1" applyFont="1" applyFill="1" applyBorder="1" applyAlignment="1">
      <alignment horizontal="center" vertical="center"/>
    </xf>
    <xf numFmtId="165" fontId="14" fillId="4" borderId="23" xfId="0" applyNumberFormat="1" applyFont="1" applyFill="1" applyBorder="1" applyAlignment="1">
      <alignment horizontal="center" vertical="center"/>
    </xf>
    <xf numFmtId="0" fontId="13" fillId="4" borderId="14" xfId="0" quotePrefix="1" applyFont="1" applyFill="1" applyBorder="1" applyAlignment="1">
      <alignment horizontal="center" vertical="center"/>
    </xf>
    <xf numFmtId="0" fontId="13" fillId="4" borderId="32" xfId="0" quotePrefix="1" applyFont="1" applyFill="1" applyBorder="1" applyAlignment="1">
      <alignment horizontal="center" vertical="center"/>
    </xf>
    <xf numFmtId="0" fontId="13" fillId="0" borderId="32" xfId="0" applyFont="1" applyBorder="1" applyAlignment="1">
      <alignment horizontal="center" vertical="center" wrapText="1"/>
    </xf>
    <xf numFmtId="0" fontId="13" fillId="4" borderId="33" xfId="0" quotePrefix="1" applyFont="1" applyFill="1" applyBorder="1" applyAlignment="1">
      <alignment horizontal="center" vertical="center"/>
    </xf>
    <xf numFmtId="166" fontId="13" fillId="4" borderId="14" xfId="0" quotePrefix="1" applyNumberFormat="1" applyFont="1" applyFill="1" applyBorder="1" applyAlignment="1">
      <alignment horizontal="center" vertical="center"/>
    </xf>
    <xf numFmtId="165" fontId="14" fillId="4" borderId="30" xfId="0" applyNumberFormat="1" applyFont="1" applyFill="1" applyBorder="1" applyAlignment="1">
      <alignment horizontal="center" vertical="center"/>
    </xf>
    <xf numFmtId="0" fontId="4" fillId="3" borderId="2" xfId="0" quotePrefix="1" applyFont="1" applyFill="1" applyBorder="1" applyAlignment="1">
      <alignment horizontal="center" vertical="center"/>
    </xf>
    <xf numFmtId="0" fontId="4" fillId="0" borderId="2" xfId="0" quotePrefix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4" fillId="3" borderId="32" xfId="0" applyFont="1" applyFill="1" applyBorder="1" applyAlignment="1">
      <alignment horizontal="center" vertical="center"/>
    </xf>
    <xf numFmtId="0" fontId="4" fillId="0" borderId="10" xfId="0" quotePrefix="1" applyFont="1" applyFill="1" applyBorder="1" applyAlignment="1">
      <alignment vertical="center" wrapText="1"/>
    </xf>
    <xf numFmtId="0" fontId="4" fillId="0" borderId="26" xfId="0" applyFont="1" applyFill="1" applyBorder="1" applyAlignment="1">
      <alignment horizontal="center" vertical="center" wrapText="1"/>
    </xf>
    <xf numFmtId="0" fontId="0" fillId="0" borderId="23" xfId="0" applyBorder="1"/>
    <xf numFmtId="0" fontId="12" fillId="5" borderId="23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13" fillId="0" borderId="2" xfId="0" quotePrefix="1" applyFont="1" applyFill="1" applyBorder="1" applyAlignment="1">
      <alignment horizontal="center" vertical="center" wrapText="1"/>
    </xf>
    <xf numFmtId="0" fontId="13" fillId="0" borderId="8" xfId="0" quotePrefix="1" applyFont="1" applyFill="1" applyBorder="1" applyAlignment="1">
      <alignment horizontal="center" vertical="center"/>
    </xf>
    <xf numFmtId="0" fontId="13" fillId="0" borderId="8" xfId="0" quotePrefix="1" applyFont="1" applyFill="1" applyBorder="1" applyAlignment="1">
      <alignment horizontal="center" vertical="center" wrapText="1"/>
    </xf>
    <xf numFmtId="0" fontId="13" fillId="0" borderId="11" xfId="0" quotePrefix="1" applyFont="1" applyFill="1" applyBorder="1" applyAlignment="1">
      <alignment horizontal="center" vertical="center" wrapText="1"/>
    </xf>
    <xf numFmtId="0" fontId="4" fillId="4" borderId="28" xfId="0" applyFont="1" applyFill="1" applyBorder="1" applyAlignment="1">
      <alignment horizontal="center" vertical="center" wrapText="1"/>
    </xf>
    <xf numFmtId="0" fontId="4" fillId="4" borderId="28" xfId="0" applyFont="1" applyFill="1" applyBorder="1" applyAlignment="1">
      <alignment horizontal="center" vertical="center"/>
    </xf>
    <xf numFmtId="0" fontId="4" fillId="4" borderId="10" xfId="0" quotePrefix="1" applyFont="1" applyFill="1" applyBorder="1" applyAlignment="1">
      <alignment vertical="center" wrapText="1"/>
    </xf>
    <xf numFmtId="0" fontId="4" fillId="4" borderId="11" xfId="0" quotePrefix="1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/>
    </xf>
    <xf numFmtId="164" fontId="6" fillId="4" borderId="23" xfId="0" applyNumberFormat="1" applyFont="1" applyFill="1" applyBorder="1" applyAlignment="1">
      <alignment vertical="center"/>
    </xf>
    <xf numFmtId="0" fontId="4" fillId="4" borderId="15" xfId="0" quotePrefix="1" applyFont="1" applyFill="1" applyBorder="1" applyAlignment="1">
      <alignment vertical="center" wrapText="1"/>
    </xf>
    <xf numFmtId="0" fontId="4" fillId="4" borderId="16" xfId="0" quotePrefix="1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/>
    </xf>
    <xf numFmtId="0" fontId="12" fillId="3" borderId="25" xfId="0" applyFont="1" applyFill="1" applyBorder="1" applyAlignment="1">
      <alignment horizontal="center" vertical="center"/>
    </xf>
    <xf numFmtId="0" fontId="4" fillId="3" borderId="17" xfId="0" quotePrefix="1" applyFont="1" applyFill="1" applyBorder="1" applyAlignment="1">
      <alignment vertical="center" wrapText="1"/>
    </xf>
    <xf numFmtId="0" fontId="4" fillId="3" borderId="18" xfId="0" quotePrefix="1" applyFont="1" applyFill="1" applyBorder="1" applyAlignment="1">
      <alignment horizontal="center" vertical="center" wrapText="1"/>
    </xf>
    <xf numFmtId="0" fontId="4" fillId="3" borderId="18" xfId="0" applyFont="1" applyFill="1" applyBorder="1" applyAlignment="1">
      <alignment horizontal="center" vertical="center" wrapText="1"/>
    </xf>
    <xf numFmtId="0" fontId="15" fillId="3" borderId="18" xfId="1" applyFont="1" applyFill="1" applyBorder="1" applyAlignment="1" applyProtection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8" fillId="3" borderId="20" xfId="0" applyFont="1" applyFill="1" applyBorder="1" applyAlignment="1">
      <alignment horizontal="center"/>
    </xf>
    <xf numFmtId="0" fontId="8" fillId="3" borderId="19" xfId="0" applyFont="1" applyFill="1" applyBorder="1" applyAlignment="1">
      <alignment horizontal="center"/>
    </xf>
    <xf numFmtId="0" fontId="3" fillId="0" borderId="35" xfId="0" applyFont="1" applyFill="1" applyBorder="1" applyAlignment="1">
      <alignment horizontal="center" vertical="center"/>
    </xf>
    <xf numFmtId="0" fontId="3" fillId="0" borderId="36" xfId="0" applyFont="1" applyFill="1" applyBorder="1" applyAlignment="1">
      <alignment horizontal="center" vertical="center"/>
    </xf>
    <xf numFmtId="0" fontId="3" fillId="0" borderId="37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4" fillId="3" borderId="16" xfId="0" quotePrefix="1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/>
    </xf>
    <xf numFmtId="164" fontId="5" fillId="3" borderId="38" xfId="0" applyNumberFormat="1" applyFont="1" applyFill="1" applyBorder="1" applyAlignment="1">
      <alignment vertical="center"/>
    </xf>
    <xf numFmtId="0" fontId="3" fillId="0" borderId="9" xfId="0" applyFont="1" applyBorder="1" applyAlignment="1">
      <alignment horizontal="center" vertical="center"/>
    </xf>
    <xf numFmtId="0" fontId="4" fillId="0" borderId="16" xfId="0" quotePrefix="1" applyFont="1" applyBorder="1" applyAlignment="1">
      <alignment horizontal="center" vertical="center" wrapText="1"/>
    </xf>
    <xf numFmtId="0" fontId="4" fillId="0" borderId="10" xfId="0" applyFont="1" applyBorder="1" applyAlignment="1">
      <alignment vertical="center"/>
    </xf>
    <xf numFmtId="0" fontId="4" fillId="0" borderId="11" xfId="0" quotePrefix="1" applyFont="1" applyBorder="1" applyAlignment="1">
      <alignment horizontal="center" vertical="center" wrapText="1"/>
    </xf>
    <xf numFmtId="0" fontId="4" fillId="3" borderId="28" xfId="0" applyFont="1" applyFill="1" applyBorder="1" applyAlignment="1">
      <alignment horizontal="center" vertical="center"/>
    </xf>
    <xf numFmtId="0" fontId="15" fillId="3" borderId="11" xfId="1" applyFont="1" applyFill="1" applyBorder="1" applyAlignment="1" applyProtection="1">
      <alignment horizontal="center" vertical="center"/>
    </xf>
    <xf numFmtId="0" fontId="4" fillId="3" borderId="10" xfId="0" applyFont="1" applyFill="1" applyBorder="1" applyAlignment="1">
      <alignment vertical="center"/>
    </xf>
    <xf numFmtId="164" fontId="0" fillId="0" borderId="0" xfId="0" applyNumberFormat="1"/>
    <xf numFmtId="0" fontId="4" fillId="0" borderId="32" xfId="0" quotePrefix="1" applyFont="1" applyBorder="1" applyAlignment="1">
      <alignment horizontal="center" vertical="center" wrapText="1"/>
    </xf>
    <xf numFmtId="164" fontId="5" fillId="3" borderId="40" xfId="0" applyNumberFormat="1" applyFont="1" applyFill="1" applyBorder="1" applyAlignment="1">
      <alignment vertical="center"/>
    </xf>
    <xf numFmtId="0" fontId="4" fillId="0" borderId="15" xfId="0" quotePrefix="1" applyFont="1" applyBorder="1" applyAlignment="1">
      <alignment vertical="center"/>
    </xf>
    <xf numFmtId="0" fontId="3" fillId="0" borderId="12" xfId="0" applyFont="1" applyBorder="1" applyAlignment="1">
      <alignment horizontal="center" vertical="center"/>
    </xf>
    <xf numFmtId="0" fontId="4" fillId="0" borderId="39" xfId="0" applyFont="1" applyBorder="1" applyAlignment="1">
      <alignment vertical="center"/>
    </xf>
    <xf numFmtId="0" fontId="4" fillId="0" borderId="7" xfId="0" quotePrefix="1" applyFont="1" applyFill="1" applyBorder="1" applyAlignment="1">
      <alignment vertical="center" wrapText="1"/>
    </xf>
    <xf numFmtId="0" fontId="12" fillId="3" borderId="24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4" fillId="0" borderId="2" xfId="0" quotePrefix="1" applyFont="1" applyBorder="1" applyAlignment="1">
      <alignment horizontal="center" vertical="center" wrapText="1"/>
    </xf>
    <xf numFmtId="0" fontId="3" fillId="0" borderId="41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vertical="center"/>
    </xf>
    <xf numFmtId="0" fontId="12" fillId="5" borderId="38" xfId="0" applyFont="1" applyFill="1" applyBorder="1" applyAlignment="1">
      <alignment horizontal="center" vertical="center"/>
    </xf>
    <xf numFmtId="0" fontId="12" fillId="3" borderId="38" xfId="0" applyFont="1" applyFill="1" applyBorder="1" applyAlignment="1">
      <alignment horizontal="center" vertical="center"/>
    </xf>
    <xf numFmtId="0" fontId="4" fillId="3" borderId="34" xfId="0" quotePrefix="1" applyFont="1" applyFill="1" applyBorder="1" applyAlignment="1">
      <alignment vertical="center"/>
    </xf>
    <xf numFmtId="0" fontId="4" fillId="3" borderId="28" xfId="0" applyFont="1" applyFill="1" applyBorder="1" applyAlignment="1">
      <alignment horizontal="center" vertical="center" wrapText="1"/>
    </xf>
    <xf numFmtId="0" fontId="4" fillId="3" borderId="28" xfId="0" quotePrefix="1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 wrapText="1"/>
    </xf>
    <xf numFmtId="0" fontId="0" fillId="0" borderId="22" xfId="0" applyBorder="1"/>
    <xf numFmtId="0" fontId="12" fillId="3" borderId="27" xfId="0" applyFont="1" applyFill="1" applyBorder="1" applyAlignment="1">
      <alignment horizontal="center" vertical="center"/>
    </xf>
    <xf numFmtId="0" fontId="12" fillId="3" borderId="40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42" xfId="0" applyFont="1" applyFill="1" applyBorder="1" applyAlignment="1">
      <alignment horizontal="center" vertical="center"/>
    </xf>
    <xf numFmtId="0" fontId="1" fillId="2" borderId="43" xfId="0" applyFont="1" applyFill="1" applyBorder="1" applyAlignment="1">
      <alignment horizontal="center" vertical="center"/>
    </xf>
    <xf numFmtId="0" fontId="16" fillId="3" borderId="8" xfId="0" applyFont="1" applyFill="1" applyBorder="1" applyAlignment="1">
      <alignment horizontal="center" vertical="center"/>
    </xf>
    <xf numFmtId="0" fontId="17" fillId="3" borderId="8" xfId="1" applyFont="1" applyFill="1" applyBorder="1" applyAlignment="1" applyProtection="1">
      <alignment horizontal="center" vertical="center"/>
    </xf>
    <xf numFmtId="164" fontId="16" fillId="3" borderId="8" xfId="0" applyNumberFormat="1" applyFont="1" applyFill="1" applyBorder="1" applyAlignment="1">
      <alignment horizontal="center" vertical="center"/>
    </xf>
    <xf numFmtId="164" fontId="4" fillId="3" borderId="2" xfId="0" applyNumberFormat="1" applyFont="1" applyFill="1" applyBorder="1" applyAlignment="1">
      <alignment horizontal="center" vertical="center"/>
    </xf>
    <xf numFmtId="0" fontId="16" fillId="3" borderId="26" xfId="0" applyFont="1" applyFill="1" applyBorder="1" applyAlignment="1">
      <alignment horizontal="center" vertical="center"/>
    </xf>
    <xf numFmtId="0" fontId="17" fillId="3" borderId="11" xfId="1" applyFont="1" applyFill="1" applyBorder="1" applyAlignment="1" applyProtection="1">
      <alignment horizontal="center" vertical="center"/>
    </xf>
    <xf numFmtId="164" fontId="16" fillId="3" borderId="26" xfId="0" applyNumberFormat="1" applyFont="1" applyFill="1" applyBorder="1" applyAlignment="1">
      <alignment horizontal="center" vertical="center"/>
    </xf>
    <xf numFmtId="164" fontId="4" fillId="3" borderId="11" xfId="0" applyNumberFormat="1" applyFont="1" applyFill="1" applyBorder="1" applyAlignment="1">
      <alignment horizontal="center" vertical="center"/>
    </xf>
    <xf numFmtId="0" fontId="16" fillId="3" borderId="11" xfId="0" applyFont="1" applyFill="1" applyBorder="1" applyAlignment="1">
      <alignment horizontal="center" vertical="center"/>
    </xf>
    <xf numFmtId="164" fontId="16" fillId="3" borderId="11" xfId="0" applyNumberFormat="1" applyFont="1" applyFill="1" applyBorder="1" applyAlignment="1">
      <alignment horizontal="center" vertical="center"/>
    </xf>
    <xf numFmtId="0" fontId="16" fillId="3" borderId="14" xfId="0" applyFont="1" applyFill="1" applyBorder="1" applyAlignment="1">
      <alignment horizontal="center" vertical="center"/>
    </xf>
    <xf numFmtId="0" fontId="17" fillId="3" borderId="14" xfId="1" applyFont="1" applyFill="1" applyBorder="1" applyAlignment="1" applyProtection="1">
      <alignment horizontal="center" vertical="center"/>
    </xf>
    <xf numFmtId="164" fontId="16" fillId="3" borderId="14" xfId="0" applyNumberFormat="1" applyFont="1" applyFill="1" applyBorder="1" applyAlignment="1">
      <alignment horizontal="center" vertical="center"/>
    </xf>
    <xf numFmtId="164" fontId="4" fillId="3" borderId="32" xfId="0" applyNumberFormat="1" applyFont="1" applyFill="1" applyBorder="1" applyAlignment="1">
      <alignment horizontal="center" vertical="center"/>
    </xf>
    <xf numFmtId="0" fontId="16" fillId="3" borderId="2" xfId="0" applyFont="1" applyFill="1" applyBorder="1" applyAlignment="1">
      <alignment horizontal="center" vertical="center"/>
    </xf>
    <xf numFmtId="164" fontId="16" fillId="3" borderId="2" xfId="0" applyNumberFormat="1" applyFont="1" applyFill="1" applyBorder="1" applyAlignment="1">
      <alignment horizontal="center" vertical="center"/>
    </xf>
    <xf numFmtId="0" fontId="16" fillId="3" borderId="32" xfId="0" applyFont="1" applyFill="1" applyBorder="1" applyAlignment="1">
      <alignment horizontal="center" vertical="center"/>
    </xf>
    <xf numFmtId="164" fontId="16" fillId="3" borderId="32" xfId="0" applyNumberFormat="1" applyFont="1" applyFill="1" applyBorder="1" applyAlignment="1">
      <alignment horizontal="center" vertical="center"/>
    </xf>
    <xf numFmtId="0" fontId="16" fillId="3" borderId="16" xfId="0" applyFont="1" applyFill="1" applyBorder="1" applyAlignment="1">
      <alignment horizontal="center" vertical="center"/>
    </xf>
    <xf numFmtId="0" fontId="15" fillId="3" borderId="16" xfId="1" applyFont="1" applyFill="1" applyBorder="1" applyAlignment="1" applyProtection="1">
      <alignment horizontal="center" vertical="center"/>
    </xf>
    <xf numFmtId="164" fontId="16" fillId="3" borderId="16" xfId="0" applyNumberFormat="1" applyFont="1" applyFill="1" applyBorder="1" applyAlignment="1">
      <alignment horizontal="center" vertical="center"/>
    </xf>
    <xf numFmtId="164" fontId="4" fillId="3" borderId="16" xfId="0" applyNumberFormat="1" applyFont="1" applyFill="1" applyBorder="1" applyAlignment="1">
      <alignment horizontal="center" vertical="center"/>
    </xf>
    <xf numFmtId="164" fontId="4" fillId="3" borderId="8" xfId="0" applyNumberFormat="1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5" fillId="4" borderId="11" xfId="1" applyFont="1" applyFill="1" applyBorder="1" applyAlignment="1" applyProtection="1">
      <alignment horizontal="center" vertical="center"/>
    </xf>
    <xf numFmtId="164" fontId="16" fillId="4" borderId="11" xfId="0" applyNumberFormat="1" applyFont="1" applyFill="1" applyBorder="1" applyAlignment="1">
      <alignment horizontal="center" vertical="center"/>
    </xf>
    <xf numFmtId="164" fontId="4" fillId="4" borderId="11" xfId="0" applyNumberFormat="1" applyFont="1" applyFill="1" applyBorder="1" applyAlignment="1">
      <alignment horizontal="center" vertical="center"/>
    </xf>
    <xf numFmtId="0" fontId="15" fillId="3" borderId="14" xfId="1" applyFont="1" applyFill="1" applyBorder="1" applyAlignment="1" applyProtection="1">
      <alignment horizontal="center" vertical="center"/>
    </xf>
    <xf numFmtId="164" fontId="4" fillId="3" borderId="14" xfId="0" applyNumberFormat="1" applyFont="1" applyFill="1" applyBorder="1" applyAlignment="1">
      <alignment horizontal="center" vertical="center"/>
    </xf>
    <xf numFmtId="0" fontId="15" fillId="3" borderId="26" xfId="1" applyFont="1" applyFill="1" applyBorder="1" applyAlignment="1" applyProtection="1">
      <alignment horizontal="center" vertical="center"/>
    </xf>
    <xf numFmtId="164" fontId="4" fillId="3" borderId="26" xfId="0" applyNumberFormat="1" applyFont="1" applyFill="1" applyBorder="1" applyAlignment="1">
      <alignment horizontal="center" vertical="center"/>
    </xf>
    <xf numFmtId="0" fontId="16" fillId="3" borderId="28" xfId="0" applyFont="1" applyFill="1" applyBorder="1" applyAlignment="1">
      <alignment horizontal="center" vertical="center"/>
    </xf>
    <xf numFmtId="0" fontId="15" fillId="3" borderId="28" xfId="1" applyFont="1" applyFill="1" applyBorder="1" applyAlignment="1" applyProtection="1">
      <alignment horizontal="center" vertical="center"/>
    </xf>
    <xf numFmtId="164" fontId="16" fillId="3" borderId="28" xfId="0" applyNumberFormat="1" applyFont="1" applyFill="1" applyBorder="1" applyAlignment="1">
      <alignment horizontal="center" vertical="center"/>
    </xf>
    <xf numFmtId="164" fontId="4" fillId="3" borderId="28" xfId="0" applyNumberFormat="1" applyFont="1" applyFill="1" applyBorder="1" applyAlignment="1">
      <alignment horizontal="center" vertical="center"/>
    </xf>
    <xf numFmtId="0" fontId="17" fillId="4" borderId="11" xfId="1" applyFont="1" applyFill="1" applyBorder="1" applyAlignment="1" applyProtection="1">
      <alignment horizontal="center" vertical="center"/>
    </xf>
    <xf numFmtId="0" fontId="16" fillId="4" borderId="16" xfId="0" applyFont="1" applyFill="1" applyBorder="1" applyAlignment="1">
      <alignment horizontal="center" vertical="center"/>
    </xf>
    <xf numFmtId="0" fontId="17" fillId="4" borderId="16" xfId="1" applyFont="1" applyFill="1" applyBorder="1" applyAlignment="1" applyProtection="1">
      <alignment horizontal="center" vertical="center"/>
    </xf>
    <xf numFmtId="164" fontId="4" fillId="4" borderId="16" xfId="0" applyNumberFormat="1" applyFont="1" applyFill="1" applyBorder="1" applyAlignment="1">
      <alignment horizontal="center" vertical="center"/>
    </xf>
    <xf numFmtId="0" fontId="16" fillId="3" borderId="18" xfId="0" applyFont="1" applyFill="1" applyBorder="1" applyAlignment="1">
      <alignment horizontal="center" vertical="center"/>
    </xf>
    <xf numFmtId="164" fontId="16" fillId="3" borderId="18" xfId="0" applyNumberFormat="1" applyFont="1" applyFill="1" applyBorder="1" applyAlignment="1">
      <alignment horizontal="center" vertical="center"/>
    </xf>
    <xf numFmtId="164" fontId="4" fillId="3" borderId="18" xfId="0" applyNumberFormat="1" applyFont="1" applyFill="1" applyBorder="1" applyAlignment="1">
      <alignment horizontal="center" vertical="center"/>
    </xf>
    <xf numFmtId="0" fontId="17" fillId="3" borderId="26" xfId="1" applyFont="1" applyFill="1" applyBorder="1" applyAlignment="1" applyProtection="1">
      <alignment horizontal="center" vertical="center"/>
    </xf>
    <xf numFmtId="0" fontId="17" fillId="3" borderId="28" xfId="1" applyFont="1" applyFill="1" applyBorder="1" applyAlignment="1" applyProtection="1">
      <alignment horizontal="center" vertical="center"/>
    </xf>
    <xf numFmtId="0" fontId="4" fillId="3" borderId="3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omparators_STMicroelectronics-LM393ADT_C136033.html" TargetMode="External"/><Relationship Id="rId13" Type="http://schemas.openxmlformats.org/officeDocument/2006/relationships/hyperlink" Target="https://www.lcsc.com/product-detail/Chip-Resistor-Surface-Mount_YAGEO-RC0603FR-0747K5L_C137715.html" TargetMode="External"/><Relationship Id="rId18" Type="http://schemas.openxmlformats.org/officeDocument/2006/relationships/hyperlink" Target="https://www.lcsc.com/product-detail/Multilayer-Ceramic-Capacitors-MLCC-SMD-SMT_Samsung-Electro-Mechanics-CL10A226MO7JZNC_C2762594.html" TargetMode="External"/><Relationship Id="rId26" Type="http://schemas.openxmlformats.org/officeDocument/2006/relationships/hyperlink" Target="https://www.lcsc.com/product-detail/Diodes-General-Purpose_Nexperia-BAL74-215_C461224.html" TargetMode="External"/><Relationship Id="rId3" Type="http://schemas.openxmlformats.org/officeDocument/2006/relationships/hyperlink" Target="https://www.lcsc.com/product-detail/MOSFETs_Diodes-Incorporated-2N7002T-7-F_C139445.html" TargetMode="External"/><Relationship Id="rId21" Type="http://schemas.openxmlformats.org/officeDocument/2006/relationships/hyperlink" Target="https://www.lcsc.com/product-detail/Light-Emitting-Diodes-LED_Everlight-Elec-204-10SYGC-S530-E2-L_C282136.html" TargetMode="External"/><Relationship Id="rId7" Type="http://schemas.openxmlformats.org/officeDocument/2006/relationships/hyperlink" Target="https://www.lcsc.com/product-detail/Chip-Resistor-Surface-Mount_RALEC-RTT034703FTP_C103658.html" TargetMode="External"/><Relationship Id="rId12" Type="http://schemas.openxmlformats.org/officeDocument/2006/relationships/hyperlink" Target="https://www.lcsc.com/product-detail/Bipolar-Transistors-BJT_Diodes-Incorporated-MMBT2222A-7-F_C94515.html" TargetMode="External"/><Relationship Id="rId17" Type="http://schemas.openxmlformats.org/officeDocument/2006/relationships/hyperlink" Target="https://www.lcsc.com/product-detail/USB-ICs_SILICON-LABS-CP2102N-A02-GQFN24R_C969151.html" TargetMode="External"/><Relationship Id="rId25" Type="http://schemas.openxmlformats.org/officeDocument/2006/relationships/hyperlink" Target="https://www.lcsc.com/product-detail/Tactile-Switches_Omron-Electronics-B3U-1000P_C231329.html" TargetMode="External"/><Relationship Id="rId2" Type="http://schemas.openxmlformats.org/officeDocument/2006/relationships/hyperlink" Target="https://www.lcsc.com/product-detail/Light-Emitting-Diodes-span-style-background-color-ff0-LED-span_TOGIALED-TJ-S1005SW4TGLC2G-A5_C273602.html" TargetMode="External"/><Relationship Id="rId16" Type="http://schemas.openxmlformats.org/officeDocument/2006/relationships/hyperlink" Target="https://www.lcsc.com/product-detail/Chip-span-style-background-color-ff0-Resistor-span-Surface-Mount_UNI-ROYAL-Uniroyal-Elec-0603WAF2212T5E_C25961.html" TargetMode="External"/><Relationship Id="rId20" Type="http://schemas.openxmlformats.org/officeDocument/2006/relationships/hyperlink" Target="https://www.lcsc.com/product-detail/Light-Emitting-Diodes-LED_Everlight-Elec-204-10UYOC-S530-A3-L_C99759.html" TargetMode="External"/><Relationship Id="rId29" Type="http://schemas.openxmlformats.org/officeDocument/2006/relationships/hyperlink" Target="https://www.lcsc.com/product-detail/Buzzers_Fengming-YS-SBZ9032C03R16_C409828.html" TargetMode="External"/><Relationship Id="rId1" Type="http://schemas.openxmlformats.org/officeDocument/2006/relationships/hyperlink" Target="https://www.lcsc.com/product-detail/Multilayer-Ceramic-Capacitors-MLCC-SMD-SMT_Samsung-Electro-Mechanics-CL10A105KA8NNNC_C5673.html" TargetMode="External"/><Relationship Id="rId6" Type="http://schemas.openxmlformats.org/officeDocument/2006/relationships/hyperlink" Target="https://www.lcsc.com/product-detail/Chip-Resistor-Surface-Mount_YAGEO-RC0603FR-07560RL_C114629.html" TargetMode="External"/><Relationship Id="rId11" Type="http://schemas.openxmlformats.org/officeDocument/2006/relationships/hyperlink" Target="https://www.lcsc.com/product-detail/Multilayer-Ceramic-Capacitors-MLCC-SMD-SMT_Murata-Electronics-GRM188R61E475KE11D_C90057.html" TargetMode="External"/><Relationship Id="rId24" Type="http://schemas.openxmlformats.org/officeDocument/2006/relationships/hyperlink" Target="https://www.chipmall.com/product_detail/Diodes-Incorporated/MOSFET/BSS8402DW-7-F_740484.html?utm_source=digipart&amp;utm_medium=buyNow" TargetMode="External"/><Relationship Id="rId32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Chip-Resistor-Surface-Mount_YAGEO-RC0603FR-074K7L_C99782.html" TargetMode="External"/><Relationship Id="rId15" Type="http://schemas.openxmlformats.org/officeDocument/2006/relationships/hyperlink" Target="https://www.lcsc.com/product-detail/Chip-span-style-background-color-ff0-Resistor-span-Surface-Mount_RALEC-RTT03102JTP_C103209.html" TargetMode="External"/><Relationship Id="rId23" Type="http://schemas.openxmlformats.org/officeDocument/2006/relationships/hyperlink" Target="https://lcsc.com/product-detail/WiFi-Modules_Espressif-Systems-ESP32-S2-WROOM-I-4M_C967026.html" TargetMode="External"/><Relationship Id="rId28" Type="http://schemas.openxmlformats.org/officeDocument/2006/relationships/hyperlink" Target="https://www.lcsc.com/product-detail/Ferrite-Beads_TDK-MMZ0603S601CT000_C275404.html" TargetMode="External"/><Relationship Id="rId10" Type="http://schemas.openxmlformats.org/officeDocument/2006/relationships/hyperlink" Target="https://www.lcsc.com/product-detail/Multilayer-Ceramic-Capacitors-MLCC-SMD-SMT_TDK-CGA3E2X7R1H104KT0Y0N_C76711.html" TargetMode="External"/><Relationship Id="rId19" Type="http://schemas.openxmlformats.org/officeDocument/2006/relationships/hyperlink" Target="https://www.lcsc.com/product-detail/Light-Emitting-Diodes-LED_Everlight-Elec-204-10SURT-S530-A3_C282135.html" TargetMode="External"/><Relationship Id="rId31" Type="http://schemas.openxmlformats.org/officeDocument/2006/relationships/hyperlink" Target="https://www.lcsc.com/product-detail/Linear-Voltage-Regulators-LDO_onsemi-NCP692MN33T2G_C145519.html" TargetMode="External"/><Relationship Id="rId4" Type="http://schemas.openxmlformats.org/officeDocument/2006/relationships/hyperlink" Target="https://www.lcsc.com/product-detail/Chip-Resistor-Surface-Mount_RALEC-RTT03103JTP_C103210.html" TargetMode="External"/><Relationship Id="rId9" Type="http://schemas.openxmlformats.org/officeDocument/2006/relationships/hyperlink" Target="https://www.lcsc.com/product-detail/USB-Connectors_Amphenol-ICC-10118194-0001LF_C132563.html" TargetMode="External"/><Relationship Id="rId14" Type="http://schemas.openxmlformats.org/officeDocument/2006/relationships/hyperlink" Target="https://www.lcsc.com/product-detail/Chip-Resistor-Surface-Mount_YAGEO-RC0603JR-07100KL_C100048.html" TargetMode="External"/><Relationship Id="rId22" Type="http://schemas.openxmlformats.org/officeDocument/2006/relationships/hyperlink" Target="https://www.lcsc.com/product-detail/Light-Emitting-Diodes-LED_Everlight-Elec-204-10SUBC-C470-S400-A4_C86726.html" TargetMode="External"/><Relationship Id="rId27" Type="http://schemas.openxmlformats.org/officeDocument/2006/relationships/hyperlink" Target="https://www.lcsc.com/product-detail/MOSFETs_onsemi-BSS138LT1G_C82045.html" TargetMode="External"/><Relationship Id="rId30" Type="http://schemas.openxmlformats.org/officeDocument/2006/relationships/hyperlink" Target="https://www.lcsc.com/product-detail/Chip-Resistor-Surface-Mount_YAGEO-RT0603BRD0747RL_C32672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9"/>
  <sheetViews>
    <sheetView tabSelected="1" workbookViewId="0">
      <selection activeCell="F22" sqref="F22"/>
    </sheetView>
  </sheetViews>
  <sheetFormatPr defaultColWidth="9" defaultRowHeight="15"/>
  <cols>
    <col min="1" max="1" width="6.7109375" customWidth="1"/>
    <col min="2" max="2" width="13.42578125" customWidth="1"/>
    <col min="3" max="3" width="38.85546875" customWidth="1"/>
    <col min="4" max="4" width="21" customWidth="1"/>
    <col min="5" max="5" width="20.5703125" customWidth="1"/>
    <col min="6" max="6" width="28.42578125" customWidth="1"/>
    <col min="7" max="7" width="17.5703125" customWidth="1"/>
    <col min="8" max="8" width="14.7109375" style="1" customWidth="1"/>
    <col min="9" max="9" width="21.7109375" customWidth="1"/>
    <col min="11" max="11" width="21.85546875" customWidth="1"/>
    <col min="12" max="12" width="11.42578125" customWidth="1"/>
    <col min="13" max="14" width="14.42578125" bestFit="1" customWidth="1"/>
    <col min="15" max="15" width="12.85546875" style="2" customWidth="1"/>
    <col min="16" max="16" width="12.42578125" style="2" customWidth="1"/>
    <col min="17" max="17" width="13.42578125" customWidth="1"/>
    <col min="18" max="18" width="20.5703125" style="2" customWidth="1"/>
    <col min="19" max="19" width="14" customWidth="1"/>
    <col min="20" max="20" width="24.7109375" customWidth="1"/>
  </cols>
  <sheetData>
    <row r="1" spans="1:20" ht="16.5" thickBot="1">
      <c r="A1" s="137" t="s">
        <v>224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9"/>
    </row>
    <row r="2" spans="1:20" ht="16.5" thickBot="1">
      <c r="A2" s="3" t="s">
        <v>0</v>
      </c>
      <c r="B2" s="4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3" t="s">
        <v>216</v>
      </c>
      <c r="N2" s="3" t="s">
        <v>217</v>
      </c>
      <c r="O2" s="18" t="s">
        <v>12</v>
      </c>
      <c r="P2" s="5" t="s">
        <v>13</v>
      </c>
      <c r="Q2" s="5" t="s">
        <v>14</v>
      </c>
      <c r="R2" s="5" t="s">
        <v>15</v>
      </c>
      <c r="S2" s="21" t="s">
        <v>16</v>
      </c>
      <c r="T2" s="5" t="s">
        <v>17</v>
      </c>
    </row>
    <row r="3" spans="1:20" ht="15.75" thickBot="1">
      <c r="A3" s="6">
        <v>1</v>
      </c>
      <c r="B3" s="100" t="s">
        <v>18</v>
      </c>
      <c r="C3" s="7" t="s">
        <v>19</v>
      </c>
      <c r="D3" s="65" t="s">
        <v>175</v>
      </c>
      <c r="E3" s="33" t="s">
        <v>20</v>
      </c>
      <c r="F3" s="75" t="s">
        <v>21</v>
      </c>
      <c r="G3" s="8" t="s">
        <v>22</v>
      </c>
      <c r="H3" s="140" t="s">
        <v>23</v>
      </c>
      <c r="I3" s="133" t="s">
        <v>24</v>
      </c>
      <c r="J3" s="34" t="s">
        <v>25</v>
      </c>
      <c r="K3" s="8">
        <v>6</v>
      </c>
      <c r="L3" s="67">
        <f>K3*5</f>
        <v>30</v>
      </c>
      <c r="M3" s="67">
        <v>50</v>
      </c>
      <c r="N3" s="67">
        <v>50</v>
      </c>
      <c r="O3" s="141" t="s">
        <v>26</v>
      </c>
      <c r="P3" s="142">
        <v>1.2699999999999999E-2</v>
      </c>
      <c r="Q3" s="143">
        <f>P3*M3</f>
        <v>0.63500000000000001</v>
      </c>
      <c r="R3" s="142">
        <v>1.2699999999999999E-2</v>
      </c>
      <c r="S3" s="143">
        <f>R3*N3</f>
        <v>0.63500000000000001</v>
      </c>
      <c r="T3" s="22"/>
    </row>
    <row r="4" spans="1:20" ht="15.75" thickBot="1">
      <c r="A4" s="6">
        <v>2</v>
      </c>
      <c r="B4" s="101"/>
      <c r="C4" s="35" t="s">
        <v>172</v>
      </c>
      <c r="D4" s="36" t="s">
        <v>173</v>
      </c>
      <c r="E4" s="37" t="s">
        <v>20</v>
      </c>
      <c r="F4" s="44" t="s">
        <v>174</v>
      </c>
      <c r="G4" s="11" t="s">
        <v>22</v>
      </c>
      <c r="H4" s="144" t="s">
        <v>176</v>
      </c>
      <c r="I4" s="41" t="s">
        <v>32</v>
      </c>
      <c r="J4" s="42" t="s">
        <v>177</v>
      </c>
      <c r="K4" s="41">
        <v>1</v>
      </c>
      <c r="L4" s="11">
        <f>K4*5</f>
        <v>5</v>
      </c>
      <c r="M4" s="11">
        <v>5</v>
      </c>
      <c r="N4" s="11">
        <v>10</v>
      </c>
      <c r="O4" s="145" t="s">
        <v>26</v>
      </c>
      <c r="P4" s="146">
        <v>0.1726</v>
      </c>
      <c r="Q4" s="147">
        <f t="shared" ref="Q4:Q35" si="0">P4*M4</f>
        <v>0.86299999999999999</v>
      </c>
      <c r="R4" s="146">
        <v>0.1726</v>
      </c>
      <c r="S4" s="147">
        <f t="shared" ref="S4:S35" si="1">R4*N4</f>
        <v>1.726</v>
      </c>
      <c r="T4" s="43"/>
    </row>
    <row r="5" spans="1:20" ht="15" customHeight="1" thickBot="1">
      <c r="A5" s="6">
        <v>3</v>
      </c>
      <c r="B5" s="101"/>
      <c r="C5" s="35" t="s">
        <v>27</v>
      </c>
      <c r="D5" s="36" t="s">
        <v>28</v>
      </c>
      <c r="E5" s="37" t="s">
        <v>20</v>
      </c>
      <c r="F5" s="37" t="s">
        <v>29</v>
      </c>
      <c r="G5" s="11" t="s">
        <v>30</v>
      </c>
      <c r="H5" s="148" t="s">
        <v>31</v>
      </c>
      <c r="I5" s="11" t="s">
        <v>32</v>
      </c>
      <c r="J5" s="10" t="s">
        <v>33</v>
      </c>
      <c r="K5" s="11">
        <v>2</v>
      </c>
      <c r="L5" s="11">
        <f>K5*5</f>
        <v>10</v>
      </c>
      <c r="M5" s="11">
        <v>10</v>
      </c>
      <c r="N5" s="11">
        <v>20</v>
      </c>
      <c r="O5" s="145" t="s">
        <v>26</v>
      </c>
      <c r="P5" s="149">
        <v>8.1600000000000006E-2</v>
      </c>
      <c r="Q5" s="147">
        <f t="shared" si="0"/>
        <v>0.81600000000000006</v>
      </c>
      <c r="R5" s="149">
        <v>8.1600000000000006E-2</v>
      </c>
      <c r="S5" s="147">
        <f t="shared" si="1"/>
        <v>1.6320000000000001</v>
      </c>
      <c r="T5" s="23"/>
    </row>
    <row r="6" spans="1:20" ht="15" customHeight="1" thickBot="1">
      <c r="A6" s="6">
        <v>4</v>
      </c>
      <c r="B6" s="102"/>
      <c r="C6" s="12" t="s">
        <v>34</v>
      </c>
      <c r="D6" s="38" t="s">
        <v>35</v>
      </c>
      <c r="E6" s="39" t="s">
        <v>20</v>
      </c>
      <c r="F6" s="39" t="s">
        <v>36</v>
      </c>
      <c r="G6" s="14" t="s">
        <v>22</v>
      </c>
      <c r="H6" s="150" t="s">
        <v>37</v>
      </c>
      <c r="I6" s="14" t="s">
        <v>32</v>
      </c>
      <c r="J6" s="39" t="s">
        <v>38</v>
      </c>
      <c r="K6" s="14">
        <v>2</v>
      </c>
      <c r="L6" s="14">
        <f>K6*5</f>
        <v>10</v>
      </c>
      <c r="M6" s="14">
        <v>50</v>
      </c>
      <c r="N6" s="14">
        <v>50</v>
      </c>
      <c r="O6" s="151" t="s">
        <v>26</v>
      </c>
      <c r="P6" s="152">
        <v>4.4000000000000003E-3</v>
      </c>
      <c r="Q6" s="153">
        <f t="shared" si="0"/>
        <v>0.22</v>
      </c>
      <c r="R6" s="152">
        <v>4.4000000000000003E-3</v>
      </c>
      <c r="S6" s="153">
        <f t="shared" si="1"/>
        <v>0.22</v>
      </c>
      <c r="T6" s="24"/>
    </row>
    <row r="7" spans="1:20" ht="16.5" customHeight="1" thickBot="1">
      <c r="A7" s="6">
        <v>5</v>
      </c>
      <c r="B7" s="100" t="s">
        <v>39</v>
      </c>
      <c r="C7" s="46" t="s">
        <v>40</v>
      </c>
      <c r="D7" s="45" t="s">
        <v>178</v>
      </c>
      <c r="E7" s="66" t="s">
        <v>41</v>
      </c>
      <c r="F7" s="74" t="s">
        <v>42</v>
      </c>
      <c r="G7" s="67" t="s">
        <v>43</v>
      </c>
      <c r="H7" s="154" t="s">
        <v>44</v>
      </c>
      <c r="I7" s="67" t="s">
        <v>45</v>
      </c>
      <c r="J7" s="67" t="s">
        <v>32</v>
      </c>
      <c r="K7" s="67">
        <v>4</v>
      </c>
      <c r="L7" s="67">
        <f>K7*5</f>
        <v>20</v>
      </c>
      <c r="M7" s="67">
        <v>10</v>
      </c>
      <c r="N7" s="67">
        <v>30</v>
      </c>
      <c r="O7" s="141" t="s">
        <v>26</v>
      </c>
      <c r="P7" s="155">
        <v>5.9400000000000001E-2</v>
      </c>
      <c r="Q7" s="143">
        <f t="shared" si="0"/>
        <v>0.59399999999999997</v>
      </c>
      <c r="R7" s="155">
        <v>5.9400000000000001E-2</v>
      </c>
      <c r="S7" s="143">
        <f t="shared" si="1"/>
        <v>1.782</v>
      </c>
      <c r="T7" s="22"/>
    </row>
    <row r="8" spans="1:20" ht="16.5" customHeight="1" thickBot="1">
      <c r="A8" s="6">
        <v>6</v>
      </c>
      <c r="B8" s="101"/>
      <c r="C8" s="35" t="s">
        <v>159</v>
      </c>
      <c r="D8" s="36" t="s">
        <v>160</v>
      </c>
      <c r="E8" s="37" t="s">
        <v>161</v>
      </c>
      <c r="F8" s="37" t="s">
        <v>162</v>
      </c>
      <c r="G8" s="11" t="s">
        <v>163</v>
      </c>
      <c r="H8" s="148" t="s">
        <v>181</v>
      </c>
      <c r="I8" s="11" t="s">
        <v>32</v>
      </c>
      <c r="J8" s="11" t="s">
        <v>32</v>
      </c>
      <c r="K8" s="11">
        <v>1</v>
      </c>
      <c r="L8" s="11">
        <f>K8*5</f>
        <v>5</v>
      </c>
      <c r="M8" s="11">
        <v>10</v>
      </c>
      <c r="N8" s="11">
        <v>10</v>
      </c>
      <c r="O8" s="145" t="s">
        <v>26</v>
      </c>
      <c r="P8" s="149">
        <v>4.2200000000000001E-2</v>
      </c>
      <c r="Q8" s="147">
        <f t="shared" si="0"/>
        <v>0.42200000000000004</v>
      </c>
      <c r="R8" s="149">
        <v>4.2200000000000001E-2</v>
      </c>
      <c r="S8" s="147">
        <f t="shared" si="1"/>
        <v>0.42200000000000004</v>
      </c>
      <c r="T8" s="23"/>
    </row>
    <row r="9" spans="1:20" ht="16.5" customHeight="1" thickBot="1">
      <c r="A9" s="6">
        <v>7</v>
      </c>
      <c r="B9" s="101"/>
      <c r="C9" s="47" t="s">
        <v>180</v>
      </c>
      <c r="D9" s="36" t="s">
        <v>164</v>
      </c>
      <c r="E9" s="37" t="s">
        <v>161</v>
      </c>
      <c r="F9" s="37" t="s">
        <v>165</v>
      </c>
      <c r="G9" s="11" t="s">
        <v>163</v>
      </c>
      <c r="H9" s="148" t="s">
        <v>182</v>
      </c>
      <c r="I9" s="11" t="s">
        <v>32</v>
      </c>
      <c r="J9" s="11" t="s">
        <v>32</v>
      </c>
      <c r="K9" s="11">
        <v>1</v>
      </c>
      <c r="L9" s="11">
        <f>K9*5</f>
        <v>5</v>
      </c>
      <c r="M9" s="11">
        <v>10</v>
      </c>
      <c r="N9" s="11">
        <v>10</v>
      </c>
      <c r="O9" s="145" t="s">
        <v>26</v>
      </c>
      <c r="P9" s="149">
        <v>5.6599999999999998E-2</v>
      </c>
      <c r="Q9" s="147">
        <f t="shared" si="0"/>
        <v>0.56599999999999995</v>
      </c>
      <c r="R9" s="149">
        <v>5.6599999999999998E-2</v>
      </c>
      <c r="S9" s="147">
        <f t="shared" si="1"/>
        <v>0.56599999999999995</v>
      </c>
      <c r="T9" s="23"/>
    </row>
    <row r="10" spans="1:20" ht="16.5" customHeight="1" thickBot="1">
      <c r="A10" s="6">
        <v>8</v>
      </c>
      <c r="B10" s="101"/>
      <c r="C10" s="35" t="s">
        <v>166</v>
      </c>
      <c r="D10" s="36" t="s">
        <v>167</v>
      </c>
      <c r="E10" s="37" t="s">
        <v>161</v>
      </c>
      <c r="F10" s="37" t="s">
        <v>168</v>
      </c>
      <c r="G10" s="11" t="s">
        <v>163</v>
      </c>
      <c r="H10" s="148" t="s">
        <v>183</v>
      </c>
      <c r="I10" s="11" t="s">
        <v>32</v>
      </c>
      <c r="J10" s="11" t="s">
        <v>32</v>
      </c>
      <c r="K10" s="11">
        <v>1</v>
      </c>
      <c r="L10" s="11">
        <f>K10*5</f>
        <v>5</v>
      </c>
      <c r="M10" s="11">
        <v>10</v>
      </c>
      <c r="N10" s="11">
        <v>10</v>
      </c>
      <c r="O10" s="145" t="s">
        <v>26</v>
      </c>
      <c r="P10" s="149">
        <v>4.2599999999999999E-2</v>
      </c>
      <c r="Q10" s="147">
        <f t="shared" si="0"/>
        <v>0.42599999999999999</v>
      </c>
      <c r="R10" s="149">
        <v>4.2599999999999999E-2</v>
      </c>
      <c r="S10" s="147">
        <f t="shared" si="1"/>
        <v>0.42599999999999999</v>
      </c>
      <c r="T10" s="23"/>
    </row>
    <row r="11" spans="1:20" ht="16.5" customHeight="1" thickBot="1">
      <c r="A11" s="6">
        <v>9</v>
      </c>
      <c r="B11" s="102"/>
      <c r="C11" s="40" t="s">
        <v>169</v>
      </c>
      <c r="D11" s="38" t="s">
        <v>170</v>
      </c>
      <c r="E11" s="39" t="s">
        <v>161</v>
      </c>
      <c r="F11" s="39" t="s">
        <v>171</v>
      </c>
      <c r="G11" s="14" t="s">
        <v>163</v>
      </c>
      <c r="H11" s="156" t="s">
        <v>184</v>
      </c>
      <c r="I11" s="68" t="s">
        <v>32</v>
      </c>
      <c r="J11" s="68" t="s">
        <v>32</v>
      </c>
      <c r="K11" s="68">
        <v>1</v>
      </c>
      <c r="L11" s="68">
        <f>K11*5</f>
        <v>5</v>
      </c>
      <c r="M11" s="68">
        <v>5</v>
      </c>
      <c r="N11" s="68">
        <v>10</v>
      </c>
      <c r="O11" s="151" t="s">
        <v>26</v>
      </c>
      <c r="P11" s="157">
        <v>0.1013</v>
      </c>
      <c r="Q11" s="153">
        <f t="shared" si="0"/>
        <v>0.50649999999999995</v>
      </c>
      <c r="R11" s="157">
        <v>0.1013</v>
      </c>
      <c r="S11" s="153">
        <f t="shared" si="1"/>
        <v>1.0129999999999999</v>
      </c>
      <c r="T11" s="24"/>
    </row>
    <row r="12" spans="1:20" ht="16.5" customHeight="1" thickBot="1">
      <c r="A12" s="6">
        <v>10</v>
      </c>
      <c r="B12" s="108" t="s">
        <v>192</v>
      </c>
      <c r="C12" s="118" t="s">
        <v>193</v>
      </c>
      <c r="D12" s="105" t="s">
        <v>194</v>
      </c>
      <c r="E12" s="109" t="s">
        <v>55</v>
      </c>
      <c r="F12" s="109" t="s">
        <v>195</v>
      </c>
      <c r="G12" s="106" t="s">
        <v>196</v>
      </c>
      <c r="H12" s="158" t="s">
        <v>218</v>
      </c>
      <c r="I12" s="106" t="s">
        <v>32</v>
      </c>
      <c r="J12" s="106" t="s">
        <v>32</v>
      </c>
      <c r="K12" s="106">
        <v>1</v>
      </c>
      <c r="L12" s="106">
        <f>K12*5</f>
        <v>5</v>
      </c>
      <c r="M12" s="106">
        <v>10</v>
      </c>
      <c r="N12" s="106">
        <v>10</v>
      </c>
      <c r="O12" s="159" t="s">
        <v>26</v>
      </c>
      <c r="P12" s="160">
        <v>6.1699999999999998E-2</v>
      </c>
      <c r="Q12" s="161">
        <f t="shared" si="0"/>
        <v>0.61699999999999999</v>
      </c>
      <c r="R12" s="160">
        <v>6.1699999999999998E-2</v>
      </c>
      <c r="S12" s="161">
        <f t="shared" si="1"/>
        <v>0.61699999999999999</v>
      </c>
      <c r="T12" s="107"/>
    </row>
    <row r="13" spans="1:20" ht="15" customHeight="1" thickBot="1">
      <c r="A13" s="6">
        <v>11</v>
      </c>
      <c r="B13" s="100" t="s">
        <v>46</v>
      </c>
      <c r="C13" s="121" t="s">
        <v>47</v>
      </c>
      <c r="D13" s="32" t="s">
        <v>48</v>
      </c>
      <c r="E13" s="34" t="s">
        <v>49</v>
      </c>
      <c r="F13" s="34" t="s">
        <v>50</v>
      </c>
      <c r="G13" s="8" t="s">
        <v>51</v>
      </c>
      <c r="H13" s="154" t="s">
        <v>52</v>
      </c>
      <c r="I13" s="67" t="s">
        <v>32</v>
      </c>
      <c r="J13" s="67" t="s">
        <v>32</v>
      </c>
      <c r="K13" s="8">
        <v>1</v>
      </c>
      <c r="L13" s="8">
        <f>K13*5</f>
        <v>5</v>
      </c>
      <c r="M13" s="8">
        <v>2</v>
      </c>
      <c r="N13" s="8">
        <v>7</v>
      </c>
      <c r="O13" s="141" t="s">
        <v>26</v>
      </c>
      <c r="P13" s="142">
        <v>0.24879999999999999</v>
      </c>
      <c r="Q13" s="162">
        <f t="shared" si="0"/>
        <v>0.49759999999999999</v>
      </c>
      <c r="R13" s="142">
        <v>0.24879999999999999</v>
      </c>
      <c r="S13" s="162">
        <f t="shared" si="1"/>
        <v>1.7416</v>
      </c>
      <c r="T13" s="22"/>
    </row>
    <row r="14" spans="1:20" ht="15" customHeight="1" thickBot="1">
      <c r="A14" s="6">
        <v>12</v>
      </c>
      <c r="B14" s="101"/>
      <c r="C14" s="9" t="s">
        <v>53</v>
      </c>
      <c r="D14" s="36" t="s">
        <v>54</v>
      </c>
      <c r="E14" s="37" t="s">
        <v>55</v>
      </c>
      <c r="F14" s="37" t="s">
        <v>56</v>
      </c>
      <c r="G14" s="11" t="s">
        <v>51</v>
      </c>
      <c r="H14" s="148" t="s">
        <v>57</v>
      </c>
      <c r="I14" s="11" t="s">
        <v>32</v>
      </c>
      <c r="J14" s="11" t="s">
        <v>32</v>
      </c>
      <c r="K14" s="11">
        <v>2</v>
      </c>
      <c r="L14" s="11">
        <f>K14*5</f>
        <v>10</v>
      </c>
      <c r="M14" s="11">
        <v>20</v>
      </c>
      <c r="N14" s="11">
        <v>20</v>
      </c>
      <c r="O14" s="145" t="s">
        <v>26</v>
      </c>
      <c r="P14" s="149">
        <v>5.0599999999999999E-2</v>
      </c>
      <c r="Q14" s="147">
        <f t="shared" si="0"/>
        <v>1.012</v>
      </c>
      <c r="R14" s="149">
        <v>5.0599999999999999E-2</v>
      </c>
      <c r="S14" s="147">
        <f t="shared" si="1"/>
        <v>1.012</v>
      </c>
      <c r="T14" s="117"/>
    </row>
    <row r="15" spans="1:20" ht="15" customHeight="1" thickBot="1">
      <c r="A15" s="6">
        <v>13</v>
      </c>
      <c r="B15" s="125"/>
      <c r="C15" s="126" t="s">
        <v>58</v>
      </c>
      <c r="D15" s="82" t="s">
        <v>179</v>
      </c>
      <c r="E15" s="81" t="s">
        <v>59</v>
      </c>
      <c r="F15" s="81" t="s">
        <v>60</v>
      </c>
      <c r="G15" s="83" t="s">
        <v>51</v>
      </c>
      <c r="H15" s="163" t="s">
        <v>61</v>
      </c>
      <c r="I15" s="83" t="s">
        <v>32</v>
      </c>
      <c r="J15" s="83" t="s">
        <v>32</v>
      </c>
      <c r="K15" s="83">
        <v>1</v>
      </c>
      <c r="L15" s="83">
        <f>K15*5</f>
        <v>5</v>
      </c>
      <c r="M15" s="83"/>
      <c r="N15" s="83"/>
      <c r="O15" s="164" t="s">
        <v>191</v>
      </c>
      <c r="P15" s="165">
        <v>8.8099999999999998E-2</v>
      </c>
      <c r="Q15" s="166">
        <f t="shared" si="0"/>
        <v>0</v>
      </c>
      <c r="R15" s="165">
        <v>8.8099999999999998E-2</v>
      </c>
      <c r="S15" s="166">
        <f t="shared" si="1"/>
        <v>0</v>
      </c>
      <c r="T15" s="72" t="s">
        <v>186</v>
      </c>
    </row>
    <row r="16" spans="1:20" ht="15" customHeight="1" thickBot="1">
      <c r="A16" s="6">
        <v>14</v>
      </c>
      <c r="B16" s="102"/>
      <c r="C16" s="120" t="s">
        <v>197</v>
      </c>
      <c r="D16" s="184" t="s">
        <v>198</v>
      </c>
      <c r="E16" s="116" t="s">
        <v>55</v>
      </c>
      <c r="F16" s="116" t="s">
        <v>199</v>
      </c>
      <c r="G16" s="68" t="s">
        <v>137</v>
      </c>
      <c r="H16" s="150" t="s">
        <v>219</v>
      </c>
      <c r="I16" s="14" t="s">
        <v>32</v>
      </c>
      <c r="J16" s="14" t="s">
        <v>32</v>
      </c>
      <c r="K16" s="94">
        <v>1</v>
      </c>
      <c r="L16" s="94">
        <f>K16*5</f>
        <v>5</v>
      </c>
      <c r="M16" s="94">
        <v>2</v>
      </c>
      <c r="N16" s="94">
        <v>7</v>
      </c>
      <c r="O16" s="167" t="s">
        <v>26</v>
      </c>
      <c r="P16" s="152">
        <v>0.18090000000000001</v>
      </c>
      <c r="Q16" s="168">
        <f t="shared" si="0"/>
        <v>0.36180000000000001</v>
      </c>
      <c r="R16" s="152">
        <v>0.18090000000000001</v>
      </c>
      <c r="S16" s="168">
        <f t="shared" si="1"/>
        <v>1.2663</v>
      </c>
      <c r="T16" s="122"/>
    </row>
    <row r="17" spans="1:20" ht="15" customHeight="1" thickBot="1">
      <c r="A17" s="6">
        <v>15</v>
      </c>
      <c r="B17" s="119" t="s">
        <v>205</v>
      </c>
      <c r="C17" s="120" t="s">
        <v>206</v>
      </c>
      <c r="D17" s="184" t="s">
        <v>207</v>
      </c>
      <c r="E17" s="116" t="s">
        <v>208</v>
      </c>
      <c r="F17" s="116" t="s">
        <v>209</v>
      </c>
      <c r="G17" s="68" t="s">
        <v>210</v>
      </c>
      <c r="H17" s="144" t="s">
        <v>220</v>
      </c>
      <c r="I17" s="41" t="s">
        <v>32</v>
      </c>
      <c r="J17" s="41" t="s">
        <v>32</v>
      </c>
      <c r="K17" s="41">
        <v>1</v>
      </c>
      <c r="L17" s="41">
        <f>K17*5</f>
        <v>5</v>
      </c>
      <c r="M17" s="41">
        <v>50</v>
      </c>
      <c r="N17" s="41">
        <v>50</v>
      </c>
      <c r="O17" s="169" t="s">
        <v>26</v>
      </c>
      <c r="P17" s="146">
        <v>5.4000000000000003E-3</v>
      </c>
      <c r="Q17" s="170">
        <f t="shared" si="0"/>
        <v>0.27</v>
      </c>
      <c r="R17" s="146">
        <v>5.4000000000000003E-3</v>
      </c>
      <c r="S17" s="170">
        <f t="shared" si="1"/>
        <v>0.27</v>
      </c>
      <c r="T17" s="135"/>
    </row>
    <row r="18" spans="1:20" ht="26.25" thickBot="1">
      <c r="A18" s="6">
        <v>16</v>
      </c>
      <c r="B18" s="108" t="s">
        <v>211</v>
      </c>
      <c r="C18" s="123" t="s">
        <v>212</v>
      </c>
      <c r="D18" s="185" t="s">
        <v>213</v>
      </c>
      <c r="E18" s="124" t="s">
        <v>72</v>
      </c>
      <c r="F18" s="124" t="s">
        <v>214</v>
      </c>
      <c r="G18" s="106" t="s">
        <v>215</v>
      </c>
      <c r="H18" s="171" t="s">
        <v>221</v>
      </c>
      <c r="I18" s="112" t="s">
        <v>32</v>
      </c>
      <c r="J18" s="112" t="s">
        <v>32</v>
      </c>
      <c r="K18" s="112">
        <v>1</v>
      </c>
      <c r="L18" s="112">
        <f>K18*5</f>
        <v>5</v>
      </c>
      <c r="M18" s="112">
        <v>2</v>
      </c>
      <c r="N18" s="112">
        <v>7</v>
      </c>
      <c r="O18" s="172" t="s">
        <v>26</v>
      </c>
      <c r="P18" s="173">
        <v>0.54279999999999995</v>
      </c>
      <c r="Q18" s="174">
        <f t="shared" si="0"/>
        <v>1.0855999999999999</v>
      </c>
      <c r="R18" s="173">
        <v>0.54279999999999995</v>
      </c>
      <c r="S18" s="174">
        <f t="shared" si="1"/>
        <v>3.7995999999999999</v>
      </c>
      <c r="T18" s="136"/>
    </row>
    <row r="19" spans="1:20" ht="15.75" thickBot="1">
      <c r="A19" s="6">
        <v>17</v>
      </c>
      <c r="B19" s="97" t="s">
        <v>62</v>
      </c>
      <c r="C19" s="7" t="s">
        <v>63</v>
      </c>
      <c r="D19" s="32" t="s">
        <v>200</v>
      </c>
      <c r="E19" s="34" t="s">
        <v>64</v>
      </c>
      <c r="F19" s="76" t="s">
        <v>65</v>
      </c>
      <c r="G19" s="8" t="s">
        <v>66</v>
      </c>
      <c r="H19" s="140" t="s">
        <v>67</v>
      </c>
      <c r="I19" s="8" t="s">
        <v>68</v>
      </c>
      <c r="J19" s="34" t="s">
        <v>69</v>
      </c>
      <c r="K19" s="15">
        <v>5</v>
      </c>
      <c r="L19" s="8">
        <f>K19*5</f>
        <v>25</v>
      </c>
      <c r="M19" s="8">
        <v>100</v>
      </c>
      <c r="N19" s="8">
        <v>100</v>
      </c>
      <c r="O19" s="141" t="s">
        <v>26</v>
      </c>
      <c r="P19" s="142">
        <v>1.4E-3</v>
      </c>
      <c r="Q19" s="143">
        <f t="shared" si="0"/>
        <v>0.13999999999999999</v>
      </c>
      <c r="R19" s="142">
        <v>1.4E-3</v>
      </c>
      <c r="S19" s="143">
        <f t="shared" si="1"/>
        <v>0.13999999999999999</v>
      </c>
      <c r="T19" s="22"/>
    </row>
    <row r="20" spans="1:20" ht="15.75" thickBot="1">
      <c r="A20" s="6">
        <v>18</v>
      </c>
      <c r="B20" s="98"/>
      <c r="C20" s="80" t="s">
        <v>70</v>
      </c>
      <c r="D20" s="81" t="s">
        <v>71</v>
      </c>
      <c r="E20" s="82" t="s">
        <v>72</v>
      </c>
      <c r="F20" s="81" t="s">
        <v>73</v>
      </c>
      <c r="G20" s="83" t="s">
        <v>74</v>
      </c>
      <c r="H20" s="83" t="s">
        <v>32</v>
      </c>
      <c r="I20" s="83" t="s">
        <v>32</v>
      </c>
      <c r="J20" s="81" t="s">
        <v>69</v>
      </c>
      <c r="K20" s="82">
        <v>1</v>
      </c>
      <c r="L20" s="83">
        <f>K20*5</f>
        <v>5</v>
      </c>
      <c r="M20" s="83"/>
      <c r="N20" s="83"/>
      <c r="O20" s="175" t="s">
        <v>75</v>
      </c>
      <c r="P20" s="166">
        <v>0.47620000000000001</v>
      </c>
      <c r="Q20" s="166">
        <f t="shared" si="0"/>
        <v>0</v>
      </c>
      <c r="R20" s="166">
        <v>0.47620000000000001</v>
      </c>
      <c r="S20" s="166">
        <f t="shared" si="1"/>
        <v>0</v>
      </c>
      <c r="T20" s="84"/>
    </row>
    <row r="21" spans="1:20" ht="15.75" thickBot="1">
      <c r="A21" s="6">
        <v>19</v>
      </c>
      <c r="B21" s="98"/>
      <c r="C21" s="69" t="s">
        <v>76</v>
      </c>
      <c r="D21" s="36" t="s">
        <v>77</v>
      </c>
      <c r="E21" s="37" t="s">
        <v>64</v>
      </c>
      <c r="F21" s="37" t="s">
        <v>78</v>
      </c>
      <c r="G21" s="11" t="s">
        <v>79</v>
      </c>
      <c r="H21" s="148" t="s">
        <v>80</v>
      </c>
      <c r="I21" s="11" t="s">
        <v>32</v>
      </c>
      <c r="J21" s="37" t="s">
        <v>81</v>
      </c>
      <c r="K21" s="10">
        <v>2</v>
      </c>
      <c r="L21" s="11">
        <f>K21*5</f>
        <v>10</v>
      </c>
      <c r="M21" s="11">
        <v>100</v>
      </c>
      <c r="N21" s="11">
        <v>100</v>
      </c>
      <c r="O21" s="145" t="s">
        <v>26</v>
      </c>
      <c r="P21" s="149">
        <v>1.2999999999999999E-3</v>
      </c>
      <c r="Q21" s="147">
        <f t="shared" si="0"/>
        <v>0.13</v>
      </c>
      <c r="R21" s="149">
        <v>1.2999999999999999E-3</v>
      </c>
      <c r="S21" s="147">
        <f t="shared" si="1"/>
        <v>0.13</v>
      </c>
      <c r="T21" s="25"/>
    </row>
    <row r="22" spans="1:20" ht="15.75" thickBot="1">
      <c r="A22" s="6">
        <v>20</v>
      </c>
      <c r="B22" s="98"/>
      <c r="C22" s="9" t="s">
        <v>82</v>
      </c>
      <c r="D22" s="36" t="s">
        <v>83</v>
      </c>
      <c r="E22" s="37" t="s">
        <v>64</v>
      </c>
      <c r="F22" s="77" t="s">
        <v>84</v>
      </c>
      <c r="G22" s="11" t="s">
        <v>79</v>
      </c>
      <c r="H22" s="148" t="s">
        <v>85</v>
      </c>
      <c r="I22" s="148" t="s">
        <v>86</v>
      </c>
      <c r="J22" s="37" t="s">
        <v>87</v>
      </c>
      <c r="K22" s="10">
        <v>1</v>
      </c>
      <c r="L22" s="11">
        <f>K22*5</f>
        <v>5</v>
      </c>
      <c r="M22" s="11">
        <v>100</v>
      </c>
      <c r="N22" s="11">
        <v>100</v>
      </c>
      <c r="O22" s="145" t="s">
        <v>26</v>
      </c>
      <c r="P22" s="149">
        <v>2.3999999999999998E-3</v>
      </c>
      <c r="Q22" s="147">
        <f t="shared" si="0"/>
        <v>0.24</v>
      </c>
      <c r="R22" s="149">
        <v>2.3999999999999998E-3</v>
      </c>
      <c r="S22" s="147">
        <f t="shared" si="1"/>
        <v>0.24</v>
      </c>
      <c r="T22" s="26"/>
    </row>
    <row r="23" spans="1:20" ht="15.75" thickBot="1">
      <c r="A23" s="6">
        <v>21</v>
      </c>
      <c r="B23" s="98"/>
      <c r="C23" s="9" t="s">
        <v>88</v>
      </c>
      <c r="D23" s="36" t="s">
        <v>89</v>
      </c>
      <c r="E23" s="37" t="s">
        <v>64</v>
      </c>
      <c r="F23" s="37" t="s">
        <v>90</v>
      </c>
      <c r="G23" s="11" t="s">
        <v>79</v>
      </c>
      <c r="H23" s="11" t="s">
        <v>91</v>
      </c>
      <c r="I23" s="11" t="s">
        <v>32</v>
      </c>
      <c r="J23" s="37" t="s">
        <v>92</v>
      </c>
      <c r="K23" s="10">
        <v>3</v>
      </c>
      <c r="L23" s="11">
        <f>K23*5</f>
        <v>15</v>
      </c>
      <c r="M23" s="11">
        <v>100</v>
      </c>
      <c r="N23" s="11">
        <v>100</v>
      </c>
      <c r="O23" s="145" t="s">
        <v>26</v>
      </c>
      <c r="P23" s="147">
        <v>1.5E-3</v>
      </c>
      <c r="Q23" s="147">
        <f t="shared" si="0"/>
        <v>0.15</v>
      </c>
      <c r="R23" s="147">
        <v>1.5E-3</v>
      </c>
      <c r="S23" s="147">
        <f t="shared" si="1"/>
        <v>0.15</v>
      </c>
      <c r="T23" s="27"/>
    </row>
    <row r="24" spans="1:20" ht="15.75" thickBot="1">
      <c r="A24" s="6">
        <v>22</v>
      </c>
      <c r="B24" s="98"/>
      <c r="C24" s="69" t="s">
        <v>93</v>
      </c>
      <c r="D24" s="36" t="s">
        <v>94</v>
      </c>
      <c r="E24" s="37" t="s">
        <v>64</v>
      </c>
      <c r="F24" s="37" t="s">
        <v>95</v>
      </c>
      <c r="G24" s="11" t="s">
        <v>96</v>
      </c>
      <c r="H24" s="11" t="s">
        <v>97</v>
      </c>
      <c r="I24" s="11" t="s">
        <v>32</v>
      </c>
      <c r="J24" s="10" t="s">
        <v>98</v>
      </c>
      <c r="K24" s="10">
        <v>1</v>
      </c>
      <c r="L24" s="11">
        <f>K24*5</f>
        <v>5</v>
      </c>
      <c r="M24" s="11">
        <v>100</v>
      </c>
      <c r="N24" s="11">
        <v>100</v>
      </c>
      <c r="O24" s="145" t="s">
        <v>26</v>
      </c>
      <c r="P24" s="147">
        <v>1.1999999999999999E-3</v>
      </c>
      <c r="Q24" s="147">
        <f t="shared" si="0"/>
        <v>0.12</v>
      </c>
      <c r="R24" s="147">
        <v>1.1999999999999999E-3</v>
      </c>
      <c r="S24" s="147">
        <f t="shared" si="1"/>
        <v>0.12</v>
      </c>
      <c r="T24" s="28"/>
    </row>
    <row r="25" spans="1:20" ht="15.75" thickBot="1">
      <c r="A25" s="6">
        <v>23</v>
      </c>
      <c r="B25" s="98"/>
      <c r="C25" s="69" t="s">
        <v>99</v>
      </c>
      <c r="D25" s="36" t="s">
        <v>100</v>
      </c>
      <c r="E25" s="37" t="s">
        <v>64</v>
      </c>
      <c r="F25" s="37" t="s">
        <v>101</v>
      </c>
      <c r="G25" s="11" t="s">
        <v>102</v>
      </c>
      <c r="H25" s="11" t="s">
        <v>103</v>
      </c>
      <c r="I25" s="11" t="s">
        <v>32</v>
      </c>
      <c r="J25" s="10" t="s">
        <v>104</v>
      </c>
      <c r="K25" s="10">
        <v>1</v>
      </c>
      <c r="L25" s="11">
        <f>K25*5</f>
        <v>5</v>
      </c>
      <c r="M25" s="11">
        <v>100</v>
      </c>
      <c r="N25" s="11">
        <v>100</v>
      </c>
      <c r="O25" s="145" t="s">
        <v>26</v>
      </c>
      <c r="P25" s="147">
        <v>1.4E-3</v>
      </c>
      <c r="Q25" s="147">
        <f t="shared" si="0"/>
        <v>0.13999999999999999</v>
      </c>
      <c r="R25" s="147">
        <v>1.4E-3</v>
      </c>
      <c r="S25" s="147">
        <f t="shared" si="1"/>
        <v>0.13999999999999999</v>
      </c>
      <c r="T25" s="28"/>
    </row>
    <row r="26" spans="1:20" ht="15.75" thickBot="1">
      <c r="A26" s="6">
        <v>24</v>
      </c>
      <c r="B26" s="98"/>
      <c r="C26" s="9" t="s">
        <v>105</v>
      </c>
      <c r="D26" s="36" t="s">
        <v>106</v>
      </c>
      <c r="E26" s="37" t="s">
        <v>64</v>
      </c>
      <c r="F26" s="37" t="s">
        <v>107</v>
      </c>
      <c r="G26" s="11" t="s">
        <v>79</v>
      </c>
      <c r="H26" s="148" t="s">
        <v>108</v>
      </c>
      <c r="I26" s="11" t="s">
        <v>32</v>
      </c>
      <c r="J26" s="10" t="s">
        <v>185</v>
      </c>
      <c r="K26" s="10">
        <v>1</v>
      </c>
      <c r="L26" s="11">
        <f>K26*5</f>
        <v>5</v>
      </c>
      <c r="M26" s="11">
        <v>100</v>
      </c>
      <c r="N26" s="11">
        <v>100</v>
      </c>
      <c r="O26" s="145" t="s">
        <v>26</v>
      </c>
      <c r="P26" s="147">
        <v>1.4E-3</v>
      </c>
      <c r="Q26" s="147">
        <f t="shared" si="0"/>
        <v>0.13999999999999999</v>
      </c>
      <c r="R26" s="147">
        <v>1.4E-3</v>
      </c>
      <c r="S26" s="147">
        <f t="shared" si="1"/>
        <v>0.13999999999999999</v>
      </c>
      <c r="T26" s="29"/>
    </row>
    <row r="27" spans="1:20" ht="15.75" thickBot="1">
      <c r="A27" s="6">
        <v>25</v>
      </c>
      <c r="B27" s="98"/>
      <c r="C27" s="110" t="s">
        <v>201</v>
      </c>
      <c r="D27" s="36" t="s">
        <v>202</v>
      </c>
      <c r="E27" s="111" t="s">
        <v>64</v>
      </c>
      <c r="F27" s="111" t="s">
        <v>203</v>
      </c>
      <c r="G27" s="11" t="s">
        <v>79</v>
      </c>
      <c r="H27" s="148" t="s">
        <v>222</v>
      </c>
      <c r="I27" s="11" t="s">
        <v>32</v>
      </c>
      <c r="J27" s="10" t="s">
        <v>204</v>
      </c>
      <c r="K27" s="10">
        <v>1</v>
      </c>
      <c r="L27" s="11">
        <f>K27*5</f>
        <v>5</v>
      </c>
      <c r="M27" s="11">
        <v>20</v>
      </c>
      <c r="N27" s="11">
        <v>20</v>
      </c>
      <c r="O27" s="113" t="s">
        <v>26</v>
      </c>
      <c r="P27" s="147">
        <v>3.6799999999999999E-2</v>
      </c>
      <c r="Q27" s="147">
        <f t="shared" si="0"/>
        <v>0.73599999999999999</v>
      </c>
      <c r="R27" s="147">
        <v>3.6799999999999999E-2</v>
      </c>
      <c r="S27" s="147">
        <f t="shared" si="1"/>
        <v>0.73599999999999999</v>
      </c>
      <c r="T27" s="30"/>
    </row>
    <row r="28" spans="1:20" ht="15.75" thickBot="1">
      <c r="A28" s="6">
        <v>26</v>
      </c>
      <c r="B28" s="99"/>
      <c r="C28" s="12" t="s">
        <v>109</v>
      </c>
      <c r="D28" s="38" t="s">
        <v>110</v>
      </c>
      <c r="E28" s="39" t="s">
        <v>64</v>
      </c>
      <c r="F28" s="39" t="s">
        <v>111</v>
      </c>
      <c r="G28" s="14" t="s">
        <v>79</v>
      </c>
      <c r="H28" s="150" t="s">
        <v>112</v>
      </c>
      <c r="I28" s="14" t="s">
        <v>32</v>
      </c>
      <c r="J28" s="13" t="s">
        <v>113</v>
      </c>
      <c r="K28" s="13">
        <v>4</v>
      </c>
      <c r="L28" s="14">
        <f>K28*5</f>
        <v>20</v>
      </c>
      <c r="M28" s="14">
        <v>100</v>
      </c>
      <c r="N28" s="14">
        <v>100</v>
      </c>
      <c r="O28" s="151" t="s">
        <v>26</v>
      </c>
      <c r="P28" s="168">
        <v>1.1000000000000001E-3</v>
      </c>
      <c r="Q28" s="168">
        <f t="shared" si="0"/>
        <v>0.11</v>
      </c>
      <c r="R28" s="168">
        <v>1.1000000000000001E-3</v>
      </c>
      <c r="S28" s="168">
        <f t="shared" si="1"/>
        <v>0.11</v>
      </c>
      <c r="T28" s="31"/>
    </row>
    <row r="29" spans="1:20" ht="16.5" thickBot="1">
      <c r="A29" s="6">
        <v>27</v>
      </c>
      <c r="B29" s="73" t="s">
        <v>114</v>
      </c>
      <c r="C29" s="85" t="s">
        <v>115</v>
      </c>
      <c r="D29" s="86" t="s">
        <v>116</v>
      </c>
      <c r="E29" s="87" t="s">
        <v>72</v>
      </c>
      <c r="F29" s="86" t="s">
        <v>117</v>
      </c>
      <c r="G29" s="88" t="s">
        <v>32</v>
      </c>
      <c r="H29" s="176" t="s">
        <v>32</v>
      </c>
      <c r="I29" s="88" t="s">
        <v>32</v>
      </c>
      <c r="J29" s="88" t="s">
        <v>32</v>
      </c>
      <c r="K29" s="88">
        <v>1</v>
      </c>
      <c r="L29" s="88">
        <f>K29*5</f>
        <v>5</v>
      </c>
      <c r="M29" s="88"/>
      <c r="N29" s="88"/>
      <c r="O29" s="177" t="s">
        <v>75</v>
      </c>
      <c r="P29" s="178">
        <v>0.318</v>
      </c>
      <c r="Q29" s="178">
        <f t="shared" si="0"/>
        <v>0</v>
      </c>
      <c r="R29" s="178">
        <v>0.318</v>
      </c>
      <c r="S29" s="178">
        <f t="shared" si="1"/>
        <v>0</v>
      </c>
      <c r="T29" s="127" t="s">
        <v>186</v>
      </c>
    </row>
    <row r="30" spans="1:20" ht="16.5" thickBot="1">
      <c r="A30" s="6">
        <v>28</v>
      </c>
      <c r="B30" s="16" t="s">
        <v>118</v>
      </c>
      <c r="C30" s="90" t="s">
        <v>119</v>
      </c>
      <c r="D30" s="91" t="s">
        <v>120</v>
      </c>
      <c r="E30" s="92" t="s">
        <v>72</v>
      </c>
      <c r="F30" s="91" t="s">
        <v>121</v>
      </c>
      <c r="G30" s="17" t="s">
        <v>122</v>
      </c>
      <c r="H30" s="179" t="s">
        <v>123</v>
      </c>
      <c r="I30" s="17" t="s">
        <v>32</v>
      </c>
      <c r="J30" s="17" t="s">
        <v>32</v>
      </c>
      <c r="K30" s="17">
        <v>2</v>
      </c>
      <c r="L30" s="17">
        <f>K30*5</f>
        <v>10</v>
      </c>
      <c r="M30" s="17">
        <v>3</v>
      </c>
      <c r="N30" s="17">
        <v>12</v>
      </c>
      <c r="O30" s="93" t="s">
        <v>26</v>
      </c>
      <c r="P30" s="180">
        <v>0.82230000000000003</v>
      </c>
      <c r="Q30" s="181">
        <f t="shared" si="0"/>
        <v>2.4668999999999999</v>
      </c>
      <c r="R30" s="181">
        <v>0.69069999999999998</v>
      </c>
      <c r="S30" s="181">
        <f t="shared" si="1"/>
        <v>8.2883999999999993</v>
      </c>
      <c r="T30" s="89"/>
    </row>
    <row r="31" spans="1:20" ht="15" customHeight="1" thickBot="1">
      <c r="A31" s="6">
        <v>29</v>
      </c>
      <c r="B31" s="101" t="s">
        <v>124</v>
      </c>
      <c r="C31" s="47" t="s">
        <v>189</v>
      </c>
      <c r="D31" s="42" t="s">
        <v>125</v>
      </c>
      <c r="E31" s="70" t="s">
        <v>72</v>
      </c>
      <c r="F31" s="70" t="s">
        <v>188</v>
      </c>
      <c r="G31" s="41" t="s">
        <v>126</v>
      </c>
      <c r="H31" s="144" t="s">
        <v>190</v>
      </c>
      <c r="I31" s="41" t="s">
        <v>32</v>
      </c>
      <c r="J31" s="41" t="s">
        <v>32</v>
      </c>
      <c r="K31" s="70">
        <v>1</v>
      </c>
      <c r="L31" s="41">
        <f>K31*5</f>
        <v>5</v>
      </c>
      <c r="M31" s="41">
        <v>2</v>
      </c>
      <c r="N31" s="41">
        <v>6</v>
      </c>
      <c r="O31" s="182" t="s">
        <v>26</v>
      </c>
      <c r="P31" s="170">
        <v>5.0528000000000004</v>
      </c>
      <c r="Q31" s="170">
        <f t="shared" si="0"/>
        <v>10.105600000000001</v>
      </c>
      <c r="R31" s="170">
        <v>5.0528000000000004</v>
      </c>
      <c r="S31" s="170">
        <f t="shared" si="1"/>
        <v>30.316800000000001</v>
      </c>
      <c r="T31" s="128"/>
    </row>
    <row r="32" spans="1:20" ht="15" customHeight="1" thickBot="1">
      <c r="A32" s="6">
        <v>30</v>
      </c>
      <c r="B32" s="101"/>
      <c r="C32" s="9" t="s">
        <v>127</v>
      </c>
      <c r="D32" s="37" t="s">
        <v>128</v>
      </c>
      <c r="E32" s="37" t="s">
        <v>129</v>
      </c>
      <c r="F32" s="37" t="s">
        <v>130</v>
      </c>
      <c r="G32" s="11" t="s">
        <v>131</v>
      </c>
      <c r="H32" s="148" t="s">
        <v>132</v>
      </c>
      <c r="I32" s="11" t="s">
        <v>32</v>
      </c>
      <c r="J32" s="11" t="s">
        <v>32</v>
      </c>
      <c r="K32" s="10">
        <v>1</v>
      </c>
      <c r="L32" s="11">
        <f>K32*5</f>
        <v>5</v>
      </c>
      <c r="M32" s="11">
        <v>2</v>
      </c>
      <c r="N32" s="11">
        <v>6</v>
      </c>
      <c r="O32" s="145" t="s">
        <v>26</v>
      </c>
      <c r="P32" s="147">
        <v>0.2974</v>
      </c>
      <c r="Q32" s="147">
        <f t="shared" si="0"/>
        <v>0.5948</v>
      </c>
      <c r="R32" s="147">
        <v>0.2974</v>
      </c>
      <c r="S32" s="147">
        <f t="shared" si="1"/>
        <v>1.7844</v>
      </c>
      <c r="T32" s="71"/>
    </row>
    <row r="33" spans="1:20" ht="15" customHeight="1" thickBot="1">
      <c r="A33" s="6">
        <v>31</v>
      </c>
      <c r="B33" s="101"/>
      <c r="C33" s="114" t="s">
        <v>133</v>
      </c>
      <c r="D33" s="36" t="s">
        <v>134</v>
      </c>
      <c r="E33" s="36" t="s">
        <v>135</v>
      </c>
      <c r="F33" s="36" t="s">
        <v>136</v>
      </c>
      <c r="G33" s="11" t="s">
        <v>137</v>
      </c>
      <c r="H33" s="148" t="s">
        <v>138</v>
      </c>
      <c r="I33" s="11" t="s">
        <v>32</v>
      </c>
      <c r="J33" s="11" t="s">
        <v>32</v>
      </c>
      <c r="K33" s="82">
        <v>1</v>
      </c>
      <c r="L33" s="83">
        <f>K33*5</f>
        <v>5</v>
      </c>
      <c r="M33" s="83">
        <v>2</v>
      </c>
      <c r="N33" s="83">
        <v>6</v>
      </c>
      <c r="O33" s="113" t="s">
        <v>26</v>
      </c>
      <c r="P33" s="147">
        <v>1.7022999999999999</v>
      </c>
      <c r="Q33" s="147">
        <f t="shared" si="0"/>
        <v>3.4045999999999998</v>
      </c>
      <c r="R33" s="147">
        <v>1.7022999999999999</v>
      </c>
      <c r="S33" s="147">
        <f t="shared" si="1"/>
        <v>10.213799999999999</v>
      </c>
      <c r="T33" s="72" t="s">
        <v>223</v>
      </c>
    </row>
    <row r="34" spans="1:20" ht="15" customHeight="1" thickBot="1">
      <c r="A34" s="6">
        <v>32</v>
      </c>
      <c r="B34" s="101"/>
      <c r="C34" s="129" t="s">
        <v>139</v>
      </c>
      <c r="D34" s="131" t="s">
        <v>140</v>
      </c>
      <c r="E34" s="130" t="s">
        <v>141</v>
      </c>
      <c r="F34" s="131" t="s">
        <v>142</v>
      </c>
      <c r="G34" s="112" t="s">
        <v>143</v>
      </c>
      <c r="H34" s="171" t="s">
        <v>144</v>
      </c>
      <c r="I34" s="112" t="s">
        <v>32</v>
      </c>
      <c r="J34" s="112" t="s">
        <v>32</v>
      </c>
      <c r="K34" s="78">
        <v>1</v>
      </c>
      <c r="L34" s="79">
        <f>K34*5</f>
        <v>5</v>
      </c>
      <c r="M34" s="79">
        <v>2</v>
      </c>
      <c r="N34" s="79">
        <v>6</v>
      </c>
      <c r="O34" s="183" t="s">
        <v>26</v>
      </c>
      <c r="P34" s="174">
        <v>5.2079000000000004</v>
      </c>
      <c r="Q34" s="174">
        <f t="shared" si="0"/>
        <v>10.415800000000001</v>
      </c>
      <c r="R34" s="174">
        <v>5.2079000000000004</v>
      </c>
      <c r="S34" s="161">
        <f t="shared" si="1"/>
        <v>31.247400000000003</v>
      </c>
      <c r="T34" s="128"/>
    </row>
    <row r="35" spans="1:20" ht="15.75" customHeight="1" thickBot="1">
      <c r="A35" s="6">
        <v>33</v>
      </c>
      <c r="B35" s="132" t="s">
        <v>145</v>
      </c>
      <c r="C35" s="121" t="s">
        <v>146</v>
      </c>
      <c r="D35" s="34" t="s">
        <v>147</v>
      </c>
      <c r="E35" s="15" t="s">
        <v>72</v>
      </c>
      <c r="F35" s="34" t="s">
        <v>148</v>
      </c>
      <c r="G35" s="8" t="s">
        <v>149</v>
      </c>
      <c r="H35" s="140" t="s">
        <v>150</v>
      </c>
      <c r="I35" s="8" t="s">
        <v>32</v>
      </c>
      <c r="J35" s="8" t="s">
        <v>32</v>
      </c>
      <c r="K35" s="133">
        <v>1</v>
      </c>
      <c r="L35" s="8">
        <f>K35*5</f>
        <v>5</v>
      </c>
      <c r="M35" s="8">
        <v>2</v>
      </c>
      <c r="N35" s="8">
        <v>6</v>
      </c>
      <c r="O35" s="141" t="s">
        <v>26</v>
      </c>
      <c r="P35" s="162">
        <v>0.26129999999999998</v>
      </c>
      <c r="Q35" s="162">
        <f t="shared" si="0"/>
        <v>0.52259999999999995</v>
      </c>
      <c r="R35" s="162">
        <v>0.26129999999999998</v>
      </c>
      <c r="S35" s="162">
        <f t="shared" si="1"/>
        <v>1.5677999999999999</v>
      </c>
      <c r="T35" s="134"/>
    </row>
    <row r="36" spans="1:20" ht="15" customHeight="1" thickBot="1">
      <c r="A36" s="6">
        <v>34</v>
      </c>
      <c r="B36" s="103"/>
      <c r="C36" s="48" t="s">
        <v>151</v>
      </c>
      <c r="D36" s="49" t="s">
        <v>152</v>
      </c>
      <c r="E36" s="49" t="s">
        <v>72</v>
      </c>
      <c r="F36" s="52" t="s">
        <v>153</v>
      </c>
      <c r="G36" s="54" t="s">
        <v>32</v>
      </c>
      <c r="H36" s="54" t="s">
        <v>32</v>
      </c>
      <c r="I36" s="54" t="s">
        <v>32</v>
      </c>
      <c r="J36" s="54" t="s">
        <v>32</v>
      </c>
      <c r="K36" s="54">
        <v>1</v>
      </c>
      <c r="L36" s="55">
        <f>K36*5</f>
        <v>5</v>
      </c>
      <c r="M36" s="56" t="s">
        <v>32</v>
      </c>
      <c r="N36" s="56" t="s">
        <v>32</v>
      </c>
      <c r="O36" s="56" t="s">
        <v>32</v>
      </c>
      <c r="P36" s="57" t="s">
        <v>32</v>
      </c>
      <c r="Q36" s="57" t="s">
        <v>32</v>
      </c>
      <c r="R36" s="57" t="s">
        <v>32</v>
      </c>
      <c r="S36" s="57" t="s">
        <v>32</v>
      </c>
      <c r="T36" s="58" t="s">
        <v>187</v>
      </c>
    </row>
    <row r="37" spans="1:20" ht="15" customHeight="1" thickBot="1">
      <c r="A37" s="6">
        <v>35</v>
      </c>
      <c r="B37" s="104"/>
      <c r="C37" s="50" t="s">
        <v>154</v>
      </c>
      <c r="D37" s="51" t="s">
        <v>155</v>
      </c>
      <c r="E37" s="51" t="s">
        <v>72</v>
      </c>
      <c r="F37" s="53" t="s">
        <v>156</v>
      </c>
      <c r="G37" s="59" t="s">
        <v>32</v>
      </c>
      <c r="H37" s="60" t="s">
        <v>32</v>
      </c>
      <c r="I37" s="60" t="s">
        <v>32</v>
      </c>
      <c r="J37" s="60" t="s">
        <v>32</v>
      </c>
      <c r="K37" s="60">
        <v>5</v>
      </c>
      <c r="L37" s="61">
        <f>K37*5</f>
        <v>25</v>
      </c>
      <c r="M37" s="62" t="s">
        <v>32</v>
      </c>
      <c r="N37" s="62" t="s">
        <v>32</v>
      </c>
      <c r="O37" s="62" t="s">
        <v>32</v>
      </c>
      <c r="P37" s="63" t="s">
        <v>32</v>
      </c>
      <c r="Q37" s="63" t="s">
        <v>32</v>
      </c>
      <c r="R37" s="63" t="s">
        <v>32</v>
      </c>
      <c r="S37" s="63" t="s">
        <v>32</v>
      </c>
      <c r="T37" s="64" t="s">
        <v>187</v>
      </c>
    </row>
    <row r="38" spans="1:20" ht="19.5" thickBot="1">
      <c r="K38" s="95" t="s">
        <v>157</v>
      </c>
      <c r="L38" s="95"/>
      <c r="M38" s="95"/>
      <c r="N38" s="95"/>
      <c r="O38" s="95"/>
      <c r="Q38" s="19">
        <f>SUM(Q3:Q37)</f>
        <v>38.308799999999998</v>
      </c>
      <c r="S38" s="115">
        <f>SUM(S3:S37)</f>
        <v>102.45310000000001</v>
      </c>
    </row>
    <row r="39" spans="1:20" ht="18.75">
      <c r="K39" s="96" t="s">
        <v>158</v>
      </c>
      <c r="L39" s="96"/>
      <c r="M39" s="96"/>
      <c r="N39" s="96"/>
      <c r="O39" s="96"/>
      <c r="Q39" s="20"/>
      <c r="S39" s="19">
        <f>S38/5</f>
        <v>20.49062</v>
      </c>
    </row>
  </sheetData>
  <mergeCells count="9">
    <mergeCell ref="K38:O38"/>
    <mergeCell ref="K39:O39"/>
    <mergeCell ref="B19:B28"/>
    <mergeCell ref="B31:B34"/>
    <mergeCell ref="B3:B6"/>
    <mergeCell ref="B7:B11"/>
    <mergeCell ref="B35:B37"/>
    <mergeCell ref="B13:B16"/>
    <mergeCell ref="A1:T1"/>
  </mergeCells>
  <conditionalFormatting sqref="Q3:Q35">
    <cfRule type="dataBar" priority="3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{A5ED5B40-261C-4D63-8171-03DE1591B7D6}</x14:id>
        </ext>
      </extLst>
    </cfRule>
  </conditionalFormatting>
  <conditionalFormatting sqref="S3:S35"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{5D986308-F274-4102-BE29-1D0CF74D077B}</x14:id>
        </ext>
      </extLst>
    </cfRule>
  </conditionalFormatting>
  <conditionalFormatting sqref="T20:T21 T23">
    <cfRule type="dataBar" priority="6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{08CE510F-E31E-46C1-B283-C5A0291B5E7C}</x14:id>
        </ext>
      </extLst>
    </cfRule>
  </conditionalFormatting>
  <conditionalFormatting sqref="L3:N35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37">
    <cfRule type="dataBar" priority="1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{CA4099CF-C98C-4F21-A54C-48538B23DC95}</x14:id>
        </ext>
      </extLst>
    </cfRule>
  </conditionalFormatting>
  <conditionalFormatting sqref="L3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6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{D5DC141D-F6F3-41EC-BE3F-83A9D3929A2A}</x14:id>
        </ext>
      </extLst>
    </cfRule>
  </conditionalFormatting>
  <conditionalFormatting sqref="L3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K3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9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{59BA4FF5-F576-4902-9B4D-48ABF90E6538}</x14:id>
        </ext>
      </extLst>
    </cfRule>
  </conditionalFormatting>
  <conditionalFormatting sqref="Q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{0FF372FC-7B2A-4473-A3D1-E4CD70A605B0}</x14:id>
        </ext>
      </extLst>
    </cfRule>
  </conditionalFormatting>
  <hyperlinks>
    <hyperlink ref="O6" r:id="rId1" xr:uid="{00000000-0004-0000-0000-000000000000}"/>
    <hyperlink ref="O7" r:id="rId2" xr:uid="{00000000-0004-0000-0000-000001000000}"/>
    <hyperlink ref="O13" r:id="rId3" xr:uid="{00000000-0004-0000-0000-000002000000}"/>
    <hyperlink ref="O19" r:id="rId4" xr:uid="{00000000-0004-0000-0000-000003000000}"/>
    <hyperlink ref="O21" r:id="rId5" xr:uid="{00000000-0004-0000-0000-000004000000}"/>
    <hyperlink ref="O23" r:id="rId6" xr:uid="{00000000-0004-0000-0000-000005000000}"/>
    <hyperlink ref="O22" r:id="rId7" xr:uid="{00000000-0004-0000-0000-000006000000}"/>
    <hyperlink ref="O32" r:id="rId8" xr:uid="{00000000-0004-0000-0000-000007000000}"/>
    <hyperlink ref="O35" r:id="rId9" xr:uid="{00000000-0004-0000-0000-000008000000}"/>
    <hyperlink ref="O3" r:id="rId10" xr:uid="{00000000-0004-0000-0000-000009000000}"/>
    <hyperlink ref="O5" r:id="rId11" xr:uid="{00000000-0004-0000-0000-00000A000000}"/>
    <hyperlink ref="O14" r:id="rId12" xr:uid="{00000000-0004-0000-0000-00000B000000}"/>
    <hyperlink ref="O26" r:id="rId13" xr:uid="{00000000-0004-0000-0000-00000C000000}"/>
    <hyperlink ref="O28" r:id="rId14" xr:uid="{00000000-0004-0000-0000-00000D000000}"/>
    <hyperlink ref="O24" r:id="rId15" xr:uid="{00000000-0004-0000-0000-00000E000000}"/>
    <hyperlink ref="O25" r:id="rId16" xr:uid="{00000000-0004-0000-0000-00000F000000}"/>
    <hyperlink ref="O34" r:id="rId17" xr:uid="{00000000-0004-0000-0000-000011000000}"/>
    <hyperlink ref="O4" r:id="rId18" xr:uid="{00000000-0004-0000-0000-000012000000}"/>
    <hyperlink ref="O8" r:id="rId19" xr:uid="{00000000-0004-0000-0000-000013000000}"/>
    <hyperlink ref="O9" r:id="rId20" xr:uid="{00000000-0004-0000-0000-000014000000}"/>
    <hyperlink ref="O10" r:id="rId21" xr:uid="{00000000-0004-0000-0000-000015000000}"/>
    <hyperlink ref="O11" r:id="rId22" xr:uid="{00000000-0004-0000-0000-000016000000}"/>
    <hyperlink ref="O31" r:id="rId23" xr:uid="{00000000-0004-0000-0000-000018000000}"/>
    <hyperlink ref="O15" r:id="rId24" xr:uid="{00000000-0004-0000-0000-000019000000}"/>
    <hyperlink ref="O30" r:id="rId25" xr:uid="{00000000-0004-0000-0000-00001A000000}"/>
    <hyperlink ref="O12" r:id="rId26" xr:uid="{A042778B-D2AD-49D8-8CA8-0E1B27B16315}"/>
    <hyperlink ref="O16" r:id="rId27" xr:uid="{A470E9F9-CE8D-4524-92D5-8CF9BB3887A0}"/>
    <hyperlink ref="O17" r:id="rId28" xr:uid="{98038880-2557-4F69-8227-6791598966A6}"/>
    <hyperlink ref="O18" r:id="rId29" xr:uid="{EFCE52A4-39EE-413B-8CB8-8521501C997D}"/>
    <hyperlink ref="O27" r:id="rId30" xr:uid="{4A6B0C7B-CB8A-4E53-A8DA-2D77A28C2B27}"/>
    <hyperlink ref="O33" r:id="rId31" xr:uid="{301D3BE4-2D31-470F-A35A-ED2084F8CB29}"/>
  </hyperlinks>
  <pageMargins left="0.7" right="0.7" top="0.75" bottom="0.75" header="0.3" footer="0.3"/>
  <pageSetup orientation="portrait" r:id="rId3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ED5B40-261C-4D63-8171-03DE1591B7D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Q3:Q35</xm:sqref>
        </x14:conditionalFormatting>
        <x14:conditionalFormatting xmlns:xm="http://schemas.microsoft.com/office/excel/2006/main">
          <x14:cfRule type="dataBar" id="{5D986308-F274-4102-BE29-1D0CF74D07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S3:S35</xm:sqref>
        </x14:conditionalFormatting>
        <x14:conditionalFormatting xmlns:xm="http://schemas.microsoft.com/office/excel/2006/main">
          <x14:cfRule type="dataBar" id="{08CE510F-E31E-46C1-B283-C5A0291B5E7C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T20:T21 T23</xm:sqref>
        </x14:conditionalFormatting>
        <x14:conditionalFormatting xmlns:xm="http://schemas.microsoft.com/office/excel/2006/main">
          <x14:cfRule type="dataBar" id="{CA4099CF-C98C-4F21-A54C-48538B23DC9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T37</xm:sqref>
        </x14:conditionalFormatting>
        <x14:conditionalFormatting xmlns:xm="http://schemas.microsoft.com/office/excel/2006/main">
          <x14:cfRule type="dataBar" id="{D5DC141D-F6F3-41EC-BE3F-83A9D3929A2A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T36</xm:sqref>
        </x14:conditionalFormatting>
        <x14:conditionalFormatting xmlns:xm="http://schemas.microsoft.com/office/excel/2006/main">
          <x14:cfRule type="dataBar" id="{59BA4FF5-F576-4902-9B4D-48ABF90E653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S39</xm:sqref>
        </x14:conditionalFormatting>
        <x14:conditionalFormatting xmlns:xm="http://schemas.microsoft.com/office/excel/2006/main">
          <x14:cfRule type="dataBar" id="{0FF372FC-7B2A-4473-A3D1-E4CD70A605B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Q38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HP</cp:lastModifiedBy>
  <dcterms:created xsi:type="dcterms:W3CDTF">2021-03-12T10:24:00Z</dcterms:created>
  <dcterms:modified xsi:type="dcterms:W3CDTF">2022-03-08T11:43:27Z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B13D033B18734AEEBFFA9A1F630D5B19</vt:lpwstr>
  </property>
  <property fmtid="{D5CDD505-2E9C-101B-9397-08002B2CF9AE}" pid="3" name="KSOProductBuildVer">
    <vt:lpwstr>1033-11.2.0.10265</vt:lpwstr>
  </property>
</Properties>
</file>