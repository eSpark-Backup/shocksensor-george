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ShockSensor-George\Hardware-Designing\Deliverables\BOM\"/>
    </mc:Choice>
  </mc:AlternateContent>
  <bookViews>
    <workbookView xWindow="0" yWindow="0" windowWidth="28800" windowHeight="124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8" i="1" l="1"/>
  <c r="M9" i="1"/>
  <c r="M10" i="1"/>
  <c r="M11" i="1"/>
  <c r="M4" i="1"/>
  <c r="O34" i="1"/>
  <c r="O35" i="1" s="1"/>
  <c r="M33" i="1"/>
  <c r="M32" i="1"/>
  <c r="Q31" i="1"/>
  <c r="P31" i="1"/>
  <c r="M31" i="1"/>
  <c r="S31" i="1" s="1"/>
  <c r="Q29" i="1"/>
  <c r="P29" i="1"/>
  <c r="M29" i="1"/>
  <c r="S29" i="1" s="1"/>
  <c r="Q28" i="1"/>
  <c r="P28" i="1"/>
  <c r="M28" i="1"/>
  <c r="S28" i="1" s="1"/>
  <c r="Q27" i="1"/>
  <c r="P27" i="1"/>
  <c r="M27" i="1"/>
  <c r="S27" i="1" s="1"/>
  <c r="Q26" i="1"/>
  <c r="P26" i="1"/>
  <c r="M26" i="1"/>
  <c r="S26" i="1" s="1"/>
  <c r="Q25" i="1"/>
  <c r="P25" i="1"/>
  <c r="M25" i="1"/>
  <c r="S25" i="1" s="1"/>
  <c r="Q24" i="1"/>
  <c r="P24" i="1"/>
  <c r="M24" i="1"/>
  <c r="S24" i="1" s="1"/>
  <c r="Q23" i="1"/>
  <c r="P23" i="1"/>
  <c r="M23" i="1"/>
  <c r="S23" i="1" s="1"/>
  <c r="Q22" i="1"/>
  <c r="P22" i="1"/>
  <c r="M22" i="1"/>
  <c r="S22" i="1" s="1"/>
  <c r="Q21" i="1"/>
  <c r="P21" i="1"/>
  <c r="M21" i="1"/>
  <c r="S21" i="1" s="1"/>
  <c r="Q20" i="1"/>
  <c r="P20" i="1"/>
  <c r="M20" i="1"/>
  <c r="S20" i="1" s="1"/>
  <c r="Q19" i="1"/>
  <c r="P19" i="1"/>
  <c r="M19" i="1"/>
  <c r="S19" i="1" s="1"/>
  <c r="S18" i="1"/>
  <c r="Q18" i="1"/>
  <c r="P18" i="1"/>
  <c r="M18" i="1"/>
  <c r="S17" i="1"/>
  <c r="Q17" i="1"/>
  <c r="P17" i="1"/>
  <c r="M17" i="1"/>
  <c r="S16" i="1"/>
  <c r="Q16" i="1"/>
  <c r="P16" i="1"/>
  <c r="M16" i="1"/>
  <c r="S15" i="1"/>
  <c r="Q15" i="1"/>
  <c r="P15" i="1"/>
  <c r="M15" i="1"/>
  <c r="S14" i="1"/>
  <c r="Q14" i="1"/>
  <c r="P14" i="1"/>
  <c r="M14" i="1"/>
  <c r="S30" i="1"/>
  <c r="Q30" i="1"/>
  <c r="P30" i="1"/>
  <c r="M30" i="1"/>
  <c r="S13" i="1"/>
  <c r="Q13" i="1"/>
  <c r="P13" i="1"/>
  <c r="M13" i="1"/>
  <c r="S12" i="1"/>
  <c r="Q12" i="1"/>
  <c r="P12" i="1"/>
  <c r="M12" i="1"/>
  <c r="S7" i="1"/>
  <c r="Q7" i="1"/>
  <c r="P7" i="1"/>
  <c r="M7" i="1"/>
  <c r="S6" i="1"/>
  <c r="Q6" i="1"/>
  <c r="P6" i="1"/>
  <c r="M6" i="1"/>
  <c r="S5" i="1"/>
  <c r="Q5" i="1"/>
  <c r="P5" i="1"/>
  <c r="M5" i="1"/>
  <c r="S3" i="1"/>
  <c r="Q3" i="1"/>
  <c r="P3" i="1"/>
  <c r="M3" i="1"/>
  <c r="Q34" i="1" l="1"/>
  <c r="Q35" i="1" s="1"/>
</calcChain>
</file>

<file path=xl/sharedStrings.xml><?xml version="1.0" encoding="utf-8"?>
<sst xmlns="http://schemas.openxmlformats.org/spreadsheetml/2006/main" count="305" uniqueCount="194">
  <si>
    <t>Bill of Material (BOM) for  Martin Transmitter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</si>
  <si>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</si>
  <si>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</si>
  <si>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</si>
  <si>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</si>
  <si>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</si>
  <si>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</si>
  <si>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</si>
  <si>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LCSC Part no:</t>
  </si>
  <si>
    <t>Alternate</t>
  </si>
  <si>
    <t>Value</t>
  </si>
  <si>
    <t>Quantity (Per Board)</t>
  </si>
  <si>
    <t>Total MOQ</t>
  </si>
  <si>
    <t>Quantity 5</t>
  </si>
  <si>
    <t>LCSC Link</t>
  </si>
  <si>
    <t>Unit Cost(1)</t>
  </si>
  <si>
    <t>Total Cost(1)</t>
  </si>
  <si>
    <t>MOQ Total</t>
  </si>
  <si>
    <t>Unit Cost (5 Boards)</t>
  </si>
  <si>
    <t>Total Cost (5)</t>
  </si>
  <si>
    <t>Remarks</t>
  </si>
  <si>
    <t>Capacitors</t>
  </si>
  <si>
    <t xml:space="preserve">CAP CER 0.1UF 50V X7R 0603
</t>
  </si>
  <si>
    <t>CAP-0603</t>
  </si>
  <si>
    <t>CL10B104KB8NNNL</t>
  </si>
  <si>
    <t xml:space="preserve">Samsung 
</t>
  </si>
  <si>
    <t xml:space="preserve">C76711
</t>
  </si>
  <si>
    <t>CGA3E2X7R1H104KT0Y0N</t>
  </si>
  <si>
    <t>0.1uF</t>
  </si>
  <si>
    <t>LCSC</t>
  </si>
  <si>
    <t>CAP CER 4.7UF 25V X5R 0603</t>
  </si>
  <si>
    <t>C10, C12</t>
  </si>
  <si>
    <t>GRM188R61E475KE11D</t>
  </si>
  <si>
    <t>Murata</t>
  </si>
  <si>
    <t>C90057</t>
  </si>
  <si>
    <t>-</t>
  </si>
  <si>
    <t>4.7uF</t>
  </si>
  <si>
    <t xml:space="preserve">CAP CER 1UF 25V X5R 0603
</t>
  </si>
  <si>
    <t>C5, C6</t>
  </si>
  <si>
    <t>CL10A105KA8NNNC</t>
  </si>
  <si>
    <t>C5673</t>
  </si>
  <si>
    <t>1uF</t>
  </si>
  <si>
    <t>LED</t>
  </si>
  <si>
    <t>LED GREEN CLEAR CHIP SMD</t>
  </si>
  <si>
    <t>LED 0402</t>
  </si>
  <si>
    <t>XZVG68W-2</t>
  </si>
  <si>
    <t>SunLED</t>
  </si>
  <si>
    <t>C273602</t>
  </si>
  <si>
    <t xml:space="preserve">TJ-S1005SW4TGLC2G-A5
</t>
  </si>
  <si>
    <t>Mosfet</t>
  </si>
  <si>
    <t>MOSFET N-Channel 60V 0.115A SOT523</t>
  </si>
  <si>
    <t>Q1</t>
  </si>
  <si>
    <t>SOT-523</t>
  </si>
  <si>
    <t>2N7002T-7-F</t>
  </si>
  <si>
    <t xml:space="preserve">Diodes 
</t>
  </si>
  <si>
    <t>C139445</t>
  </si>
  <si>
    <t xml:space="preserve">TRANS NPN 40V 0.6A SMD SOT23-3
</t>
  </si>
  <si>
    <t>Q2, Q3</t>
  </si>
  <si>
    <t>sot-23</t>
  </si>
  <si>
    <t>MMBT2222A-7-F</t>
  </si>
  <si>
    <t>C94515</t>
  </si>
  <si>
    <t xml:space="preserve">MOSFET N/P-CH 60V/50V SC70-6
</t>
  </si>
  <si>
    <t>SOT-363</t>
  </si>
  <si>
    <t>BSS8402DW-7-F</t>
  </si>
  <si>
    <t xml:space="preserve">C156386
</t>
  </si>
  <si>
    <t>Resistors</t>
  </si>
  <si>
    <t xml:space="preserve">RES SMD 10K OHM 5% 1/5W 0603
</t>
  </si>
  <si>
    <t>R6, R8, R11, R15, R16</t>
  </si>
  <si>
    <t>RES-0603</t>
  </si>
  <si>
    <t>CRGH0603J10K</t>
  </si>
  <si>
    <t>TE Connectivity</t>
  </si>
  <si>
    <t>C103210</t>
  </si>
  <si>
    <t>RTT03103JTP</t>
  </si>
  <si>
    <t>10K</t>
  </si>
  <si>
    <t>TRIMMER 10K OHM 0.1W J LEAD TOP</t>
  </si>
  <si>
    <t>R7</t>
  </si>
  <si>
    <t>Custom</t>
  </si>
  <si>
    <t>TC33X-2-103E</t>
  </si>
  <si>
    <t xml:space="preserve">Bourns Inc.
</t>
  </si>
  <si>
    <t>Local Supplier</t>
  </si>
  <si>
    <t>RES SMD 4.7K OHM 1% 1/10W 0603</t>
  </si>
  <si>
    <t>R9, R26</t>
  </si>
  <si>
    <t>RC0603FR-074K7L</t>
  </si>
  <si>
    <t>YAGEO</t>
  </si>
  <si>
    <t>C99782</t>
  </si>
  <si>
    <t>4.7K</t>
  </si>
  <si>
    <t xml:space="preserve">RES 470K OHM 1% 1/10W 0603
</t>
  </si>
  <si>
    <t>R10</t>
  </si>
  <si>
    <t>RC0603FR-13470KL</t>
  </si>
  <si>
    <t>C103658</t>
  </si>
  <si>
    <t>RTT034703FTP</t>
  </si>
  <si>
    <t>470K</t>
  </si>
  <si>
    <t xml:space="preserve">RES SMD 560 OHM 1% 1/10W 0603
</t>
  </si>
  <si>
    <t>R12, R13, R14</t>
  </si>
  <si>
    <t>RC0603FR-07560RL</t>
  </si>
  <si>
    <t>C114629</t>
  </si>
  <si>
    <t>560R</t>
  </si>
  <si>
    <t>RES 1K OHM 5% 1/10W 0603</t>
  </si>
  <si>
    <t>R18</t>
  </si>
  <si>
    <t>RMCF0603JJ1K00</t>
  </si>
  <si>
    <t xml:space="preserve">Stackpole </t>
  </si>
  <si>
    <t>C103209</t>
  </si>
  <si>
    <t>1K</t>
  </si>
  <si>
    <t>RES SMD 22.1K OHM 1% 1/10W 0603</t>
  </si>
  <si>
    <t>R19</t>
  </si>
  <si>
    <t>ERJ-3EKF2212V</t>
  </si>
  <si>
    <t xml:space="preserve">Panasonic </t>
  </si>
  <si>
    <t>C25961</t>
  </si>
  <si>
    <t>22.1K</t>
  </si>
  <si>
    <t xml:space="preserve">RES 47.5K OHM 1% 1/10W 0603
</t>
  </si>
  <si>
    <t>R20</t>
  </si>
  <si>
    <t>RC0603FR-0747K5L</t>
  </si>
  <si>
    <t>C137715</t>
  </si>
  <si>
    <t>45.K</t>
  </si>
  <si>
    <t>RES SMD 0 OHM JUMPER 1/10W 0603</t>
  </si>
  <si>
    <t>R21</t>
  </si>
  <si>
    <t>RC0603JR-070RP</t>
  </si>
  <si>
    <t xml:space="preserve">C100699
</t>
  </si>
  <si>
    <t>0R</t>
  </si>
  <si>
    <t xml:space="preserve">RES 100K OHM 5% 1/10W 0603
</t>
  </si>
  <si>
    <t>R22, R23, R24, R25</t>
  </si>
  <si>
    <t>RC0603JR-07100KL</t>
  </si>
  <si>
    <t xml:space="preserve">C100048
</t>
  </si>
  <si>
    <t>100K</t>
  </si>
  <si>
    <t>Sensor</t>
  </si>
  <si>
    <t>Vibration sensor</t>
  </si>
  <si>
    <t>S1</t>
  </si>
  <si>
    <t>SW-420</t>
  </si>
  <si>
    <t>Switch</t>
  </si>
  <si>
    <t>SWITCH TACTILE SPST-NO 0.05A 12V</t>
  </si>
  <si>
    <t>SW1, SW2</t>
  </si>
  <si>
    <t>B3U-1000P</t>
  </si>
  <si>
    <t xml:space="preserve">Omron </t>
  </si>
  <si>
    <t>C231329</t>
  </si>
  <si>
    <t>IC</t>
  </si>
  <si>
    <t>RX TXRX MOD WIFI TRACE ANT SMD</t>
  </si>
  <si>
    <t>U1</t>
  </si>
  <si>
    <t>ESP32-WROOM-32D (8MB)</t>
  </si>
  <si>
    <t xml:space="preserve">Espressif Systems
</t>
  </si>
  <si>
    <t>C529577</t>
  </si>
  <si>
    <t xml:space="preserve">IC COMP DUAL VOLT LP 8SOIC
</t>
  </si>
  <si>
    <t>U3</t>
  </si>
  <si>
    <t>8-SOIC</t>
  </si>
  <si>
    <t>LM393ADT</t>
  </si>
  <si>
    <t>STMicroelectronics</t>
  </si>
  <si>
    <t>C136033</t>
  </si>
  <si>
    <t xml:space="preserve">IC REG LINEAR 3.3V 1A 6DFN
</t>
  </si>
  <si>
    <t>U4</t>
  </si>
  <si>
    <t>6-DFN (3x3)</t>
  </si>
  <si>
    <t>NCP692MN33T2G</t>
  </si>
  <si>
    <t>onsemi</t>
  </si>
  <si>
    <t>C145519</t>
  </si>
  <si>
    <t>IC USB TO UART BRIDGE QFN24</t>
  </si>
  <si>
    <t>U5</t>
  </si>
  <si>
    <t>QFN-24_4x4</t>
  </si>
  <si>
    <t>CP2102N-A02-GQFN24R</t>
  </si>
  <si>
    <t xml:space="preserve">Silicon Labs
</t>
  </si>
  <si>
    <t>C969151</t>
  </si>
  <si>
    <t>Connector</t>
  </si>
  <si>
    <t>CONN RCPT USB2.0 MICRO B SMD R/A</t>
  </si>
  <si>
    <t>J1</t>
  </si>
  <si>
    <t>10118194-0001LF</t>
  </si>
  <si>
    <t xml:space="preserve">Amphenol </t>
  </si>
  <si>
    <t>C132563</t>
  </si>
  <si>
    <t>Solder Bridge ON</t>
  </si>
  <si>
    <t>SB1</t>
  </si>
  <si>
    <t>Solder Bridge</t>
  </si>
  <si>
    <t>Test Point ON</t>
  </si>
  <si>
    <t>P1, P2, P3, P4, P5</t>
  </si>
  <si>
    <t>TEST POINT</t>
  </si>
  <si>
    <t xml:space="preserve">Total Component Cost </t>
  </si>
  <si>
    <t>Single Board Cost</t>
  </si>
  <si>
    <t>U6</t>
  </si>
  <si>
    <t xml:space="preserve">LED RED CLEAR T/H
</t>
  </si>
  <si>
    <t>LED2</t>
  </si>
  <si>
    <t>Through_Hole_LED</t>
  </si>
  <si>
    <t>204-10SURT/S530-A3</t>
  </si>
  <si>
    <t xml:space="preserve">Everlight </t>
  </si>
  <si>
    <t>Orange 605nm Through Hole 3mm Light Emitting Diodes (LED) ROHS</t>
  </si>
  <si>
    <t>LED3</t>
  </si>
  <si>
    <t>204-10UYOC/S530-A3-L</t>
  </si>
  <si>
    <t xml:space="preserve">3MM YELLOW GREEN LED LAMP
</t>
  </si>
  <si>
    <t>LED4</t>
  </si>
  <si>
    <t>204-10SYGC/S530-E2-L</t>
  </si>
  <si>
    <t xml:space="preserve">LED BLUE CLEAR 3MM T/H
</t>
  </si>
  <si>
    <t>LED5</t>
  </si>
  <si>
    <t>204-10SUBC/C470/S400-A4</t>
  </si>
  <si>
    <t>D1</t>
  </si>
  <si>
    <t>CAP CER 22UF 16V X5R 0603</t>
  </si>
  <si>
    <t>C1</t>
  </si>
  <si>
    <t>CL10A226MO7JZNC</t>
  </si>
  <si>
    <t>C2, C3, C4, C11, C13, C14</t>
  </si>
  <si>
    <t>C2762594</t>
  </si>
  <si>
    <t>22uF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</si>
</sst>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&quot;$&quot;#,##0.00000"/>
    <numFmt numFmtId="169" formatCode="_-[$$-409]* #,##0.00_ ;_-[$$-409]* \-#,##0.00\ ;_-[$$-409]* &quot;-&quot;??_ ;_-@_ "/>
  </numFmts>
  <fonts count="15">
    <font>
      <sz val="11"/>
      <color theme="1"/>
      <name val="Calibri"/>
      <charset val="134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u/>
      <sz val="10"/>
      <color theme="10"/>
      <name val="Calibri"/>
      <family val="2"/>
    </font>
    <font>
      <u/>
      <sz val="10"/>
      <color rgb="FF800080"/>
      <name val="Calibri"/>
      <family val="2"/>
    </font>
    <font>
      <sz val="14"/>
      <name val="Calibri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9" fillId="3" borderId="9" xfId="1" applyFont="1" applyFill="1" applyBorder="1" applyAlignment="1" applyProtection="1">
      <alignment horizontal="center" vertical="center"/>
    </xf>
    <xf numFmtId="168" fontId="6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3" borderId="12" xfId="1" applyFont="1" applyFill="1" applyBorder="1" applyAlignment="1" applyProtection="1">
      <alignment horizontal="center" vertical="center"/>
    </xf>
    <xf numFmtId="168" fontId="6" fillId="3" borderId="12" xfId="0" applyNumberFormat="1" applyFont="1" applyFill="1" applyBorder="1" applyAlignment="1">
      <alignment horizontal="center" vertical="center"/>
    </xf>
    <xf numFmtId="168" fontId="7" fillId="3" borderId="12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0" fillId="3" borderId="15" xfId="1" applyFont="1" applyFill="1" applyBorder="1" applyAlignment="1" applyProtection="1">
      <alignment horizontal="center" vertical="center"/>
    </xf>
    <xf numFmtId="168" fontId="6" fillId="3" borderId="15" xfId="0" applyNumberFormat="1" applyFont="1" applyFill="1" applyBorder="1" applyAlignment="1">
      <alignment horizontal="center" vertical="center"/>
    </xf>
    <xf numFmtId="168" fontId="7" fillId="3" borderId="15" xfId="0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0" fillId="3" borderId="17" xfId="1" applyFont="1" applyFill="1" applyBorder="1" applyAlignment="1" applyProtection="1">
      <alignment horizontal="center" vertical="center"/>
    </xf>
    <xf numFmtId="168" fontId="6" fillId="3" borderId="17" xfId="0" applyNumberFormat="1" applyFont="1" applyFill="1" applyBorder="1" applyAlignment="1">
      <alignment horizontal="center" vertical="center"/>
    </xf>
    <xf numFmtId="168" fontId="7" fillId="3" borderId="17" xfId="0" applyNumberFormat="1" applyFont="1" applyFill="1" applyBorder="1" applyAlignment="1">
      <alignment horizontal="center" vertical="center"/>
    </xf>
    <xf numFmtId="0" fontId="10" fillId="3" borderId="9" xfId="1" applyFont="1" applyFill="1" applyBorder="1" applyAlignment="1" applyProtection="1">
      <alignment horizontal="center" vertical="center"/>
    </xf>
    <xf numFmtId="0" fontId="10" fillId="3" borderId="12" xfId="1" applyFont="1" applyFill="1" applyBorder="1" applyAlignment="1" applyProtection="1">
      <alignment horizontal="center" vertical="center"/>
    </xf>
    <xf numFmtId="0" fontId="9" fillId="3" borderId="15" xfId="1" applyFont="1" applyFill="1" applyBorder="1" applyAlignment="1" applyProtection="1">
      <alignment horizontal="center" vertical="center"/>
    </xf>
    <xf numFmtId="0" fontId="7" fillId="0" borderId="12" xfId="0" applyFont="1" applyBorder="1" applyAlignment="1">
      <alignment horizontal="center"/>
    </xf>
    <xf numFmtId="0" fontId="9" fillId="3" borderId="17" xfId="1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9" fillId="3" borderId="19" xfId="1" applyFont="1" applyFill="1" applyBorder="1" applyAlignment="1" applyProtection="1">
      <alignment horizontal="center" vertical="center"/>
    </xf>
    <xf numFmtId="168" fontId="6" fillId="3" borderId="19" xfId="0" applyNumberFormat="1" applyFont="1" applyFill="1" applyBorder="1" applyAlignment="1">
      <alignment horizontal="center" vertical="center"/>
    </xf>
    <xf numFmtId="168" fontId="7" fillId="3" borderId="1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169" fontId="11" fillId="3" borderId="0" xfId="0" applyNumberFormat="1" applyFont="1" applyFill="1" applyAlignment="1"/>
    <xf numFmtId="169" fontId="11" fillId="3" borderId="0" xfId="0" applyNumberFormat="1" applyFont="1" applyFill="1" applyBorder="1" applyAlignment="1"/>
    <xf numFmtId="169" fontId="11" fillId="3" borderId="20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168" fontId="6" fillId="3" borderId="25" xfId="0" applyNumberFormat="1" applyFont="1" applyFill="1" applyBorder="1" applyAlignment="1">
      <alignment vertical="center"/>
    </xf>
    <xf numFmtId="168" fontId="6" fillId="3" borderId="26" xfId="0" applyNumberFormat="1" applyFont="1" applyFill="1" applyBorder="1" applyAlignment="1">
      <alignment vertical="center"/>
    </xf>
    <xf numFmtId="168" fontId="6" fillId="3" borderId="27" xfId="0" applyNumberFormat="1" applyFont="1" applyFill="1" applyBorder="1" applyAlignment="1">
      <alignment vertical="center"/>
    </xf>
    <xf numFmtId="168" fontId="6" fillId="3" borderId="28" xfId="0" applyNumberFormat="1" applyFont="1" applyFill="1" applyBorder="1" applyAlignment="1">
      <alignment vertical="center"/>
    </xf>
    <xf numFmtId="168" fontId="7" fillId="3" borderId="26" xfId="0" applyNumberFormat="1" applyFont="1" applyFill="1" applyBorder="1" applyAlignment="1">
      <alignment vertical="center"/>
    </xf>
    <xf numFmtId="168" fontId="6" fillId="3" borderId="26" xfId="0" applyNumberFormat="1" applyFont="1" applyFill="1" applyBorder="1" applyAlignment="1">
      <alignment vertical="center" wrapText="1"/>
    </xf>
    <xf numFmtId="169" fontId="12" fillId="3" borderId="26" xfId="0" applyNumberFormat="1" applyFont="1" applyFill="1" applyBorder="1" applyAlignment="1">
      <alignment vertical="center"/>
    </xf>
    <xf numFmtId="169" fontId="13" fillId="3" borderId="26" xfId="0" applyNumberFormat="1" applyFont="1" applyFill="1" applyBorder="1" applyAlignment="1"/>
    <xf numFmtId="0" fontId="7" fillId="3" borderId="26" xfId="0" applyFont="1" applyFill="1" applyBorder="1" applyAlignment="1"/>
    <xf numFmtId="0" fontId="7" fillId="0" borderId="26" xfId="0" applyFont="1" applyBorder="1" applyAlignment="1"/>
    <xf numFmtId="0" fontId="7" fillId="0" borderId="27" xfId="0" applyFont="1" applyBorder="1" applyAlignment="1"/>
    <xf numFmtId="0" fontId="7" fillId="0" borderId="28" xfId="0" applyFont="1" applyBorder="1" applyAlignment="1"/>
    <xf numFmtId="0" fontId="7" fillId="0" borderId="29" xfId="0" applyFont="1" applyBorder="1" applyAlignment="1"/>
    <xf numFmtId="0" fontId="0" fillId="0" borderId="25" xfId="0" applyBorder="1"/>
    <xf numFmtId="0" fontId="0" fillId="0" borderId="26" xfId="0" applyBorder="1"/>
    <xf numFmtId="0" fontId="0" fillId="0" borderId="15" xfId="0" applyBorder="1" applyAlignment="1">
      <alignment horizontal="center"/>
    </xf>
    <xf numFmtId="0" fontId="0" fillId="0" borderId="27" xfId="0" applyBorder="1"/>
    <xf numFmtId="0" fontId="5" fillId="3" borderId="9" xfId="0" quotePrefix="1" applyFont="1" applyFill="1" applyBorder="1" applyAlignment="1">
      <alignment horizontal="center" vertical="center" wrapText="1"/>
    </xf>
    <xf numFmtId="0" fontId="5" fillId="0" borderId="9" xfId="0" quotePrefix="1" applyFont="1" applyFill="1" applyBorder="1" applyAlignment="1">
      <alignment horizontal="center" vertical="center"/>
    </xf>
    <xf numFmtId="0" fontId="5" fillId="0" borderId="9" xfId="0" quotePrefix="1" applyFont="1" applyFill="1" applyBorder="1" applyAlignment="1">
      <alignment horizontal="center" vertical="center" wrapText="1"/>
    </xf>
    <xf numFmtId="0" fontId="5" fillId="0" borderId="11" xfId="0" quotePrefix="1" applyFont="1" applyFill="1" applyBorder="1" applyAlignment="1">
      <alignment vertical="center"/>
    </xf>
    <xf numFmtId="0" fontId="5" fillId="3" borderId="12" xfId="0" quotePrefix="1" applyFont="1" applyFill="1" applyBorder="1" applyAlignment="1">
      <alignment horizontal="center" vertical="center" wrapText="1"/>
    </xf>
    <xf numFmtId="0" fontId="5" fillId="0" borderId="12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5" fillId="0" borderId="15" xfId="0" quotePrefix="1" applyFont="1" applyFill="1" applyBorder="1" applyAlignment="1">
      <alignment horizontal="center" vertical="center" wrapText="1"/>
    </xf>
    <xf numFmtId="0" fontId="5" fillId="0" borderId="16" xfId="0" quotePrefix="1" applyFont="1" applyFill="1" applyBorder="1" applyAlignment="1">
      <alignment vertical="center" wrapText="1"/>
    </xf>
    <xf numFmtId="0" fontId="5" fillId="3" borderId="17" xfId="0" quotePrefix="1" applyFont="1" applyFill="1" applyBorder="1" applyAlignment="1">
      <alignment horizontal="center" vertical="center" wrapText="1"/>
    </xf>
    <xf numFmtId="0" fontId="5" fillId="0" borderId="17" xfId="0" quotePrefix="1" applyFont="1" applyFill="1" applyBorder="1" applyAlignment="1">
      <alignment horizontal="center" vertical="center" wrapText="1"/>
    </xf>
    <xf numFmtId="0" fontId="5" fillId="0" borderId="8" xfId="0" quotePrefix="1" applyFont="1" applyFill="1" applyBorder="1" applyAlignment="1">
      <alignment vertical="center" wrapText="1"/>
    </xf>
    <xf numFmtId="0" fontId="5" fillId="0" borderId="11" xfId="0" quotePrefix="1" applyFont="1" applyFill="1" applyBorder="1" applyAlignment="1">
      <alignment vertical="center" wrapText="1"/>
    </xf>
    <xf numFmtId="0" fontId="5" fillId="0" borderId="18" xfId="0" quotePrefix="1" applyFont="1" applyFill="1" applyBorder="1" applyAlignment="1">
      <alignment vertical="center" wrapText="1"/>
    </xf>
    <xf numFmtId="0" fontId="5" fillId="0" borderId="19" xfId="0" quotePrefix="1" applyFont="1" applyFill="1" applyBorder="1" applyAlignment="1">
      <alignment horizontal="center" vertical="center" wrapText="1"/>
    </xf>
    <xf numFmtId="0" fontId="5" fillId="0" borderId="14" xfId="0" quotePrefix="1" applyFont="1" applyFill="1" applyBorder="1" applyAlignment="1">
      <alignment vertical="center"/>
    </xf>
    <xf numFmtId="0" fontId="5" fillId="0" borderId="12" xfId="0" quotePrefix="1" applyFont="1" applyFill="1" applyBorder="1" applyAlignment="1">
      <alignment horizontal="center" vertical="center"/>
    </xf>
    <xf numFmtId="0" fontId="5" fillId="0" borderId="14" xfId="0" quotePrefix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5" fillId="0" borderId="30" xfId="0" quotePrefix="1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9" fillId="3" borderId="30" xfId="1" applyFont="1" applyFill="1" applyBorder="1" applyAlignment="1" applyProtection="1">
      <alignment horizontal="center" vertical="center"/>
    </xf>
    <xf numFmtId="168" fontId="6" fillId="3" borderId="30" xfId="0" applyNumberFormat="1" applyFont="1" applyFill="1" applyBorder="1" applyAlignment="1">
      <alignment horizontal="center" vertical="center"/>
    </xf>
    <xf numFmtId="168" fontId="7" fillId="3" borderId="30" xfId="0" applyNumberFormat="1" applyFont="1" applyFill="1" applyBorder="1" applyAlignment="1">
      <alignment horizontal="center" vertical="center"/>
    </xf>
    <xf numFmtId="168" fontId="6" fillId="3" borderId="31" xfId="0" applyNumberFormat="1" applyFont="1" applyFill="1" applyBorder="1" applyAlignment="1">
      <alignment vertical="center"/>
    </xf>
    <xf numFmtId="0" fontId="5" fillId="0" borderId="32" xfId="0" quotePrefix="1" applyFont="1" applyFill="1" applyBorder="1" applyAlignment="1">
      <alignment horizontal="center" vertical="center" wrapText="1"/>
    </xf>
    <xf numFmtId="0" fontId="5" fillId="3" borderId="17" xfId="0" quotePrefix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Tactile-Switches_Omron-Electronics-B3U-1000P_C231329.html" TargetMode="External"/><Relationship Id="rId13" Type="http://schemas.openxmlformats.org/officeDocument/2006/relationships/hyperlink" Target="https://www.lcsc.com/product-detail/Multilayer-Ceramic-Capacitors-MLCC-SMD-SMT_TDK-CGA3E2X7R1H104KT0Y0N_C76711.html" TargetMode="External"/><Relationship Id="rId18" Type="http://schemas.openxmlformats.org/officeDocument/2006/relationships/hyperlink" Target="https://www.lcsc.com/product-detail/Chip-Resistor-Surface-Mount_YAGEO-RC0603JR-07100KL_C100048.html" TargetMode="External"/><Relationship Id="rId3" Type="http://schemas.openxmlformats.org/officeDocument/2006/relationships/hyperlink" Target="https://www.lcsc.com/product-detail/MOSFETs_Diodes-Incorporated-2N7002T-7-F_C139445.html" TargetMode="External"/><Relationship Id="rId21" Type="http://schemas.openxmlformats.org/officeDocument/2006/relationships/hyperlink" Target="https://www.lcsc.com/product-detail/Chip-span-style-background-color-ff0-Resistor-span-Surface-Mount_LIZ-Elec-CR0603FA0000G_C100699.html" TargetMode="External"/><Relationship Id="rId7" Type="http://schemas.openxmlformats.org/officeDocument/2006/relationships/hyperlink" Target="https://www.lcsc.com/product-detail/Chip-Resistor-Surface-Mount_RALEC-RTT034703FTP_C103658.html" TargetMode="External"/><Relationship Id="rId12" Type="http://schemas.openxmlformats.org/officeDocument/2006/relationships/hyperlink" Target="https://www.lcsc.com/product-detail/USB-Connectors_Amphenol-ICC-10118194-0001LF_C132563.html" TargetMode="External"/><Relationship Id="rId17" Type="http://schemas.openxmlformats.org/officeDocument/2006/relationships/hyperlink" Target="https://www.lcsc.com/product-detail/Chip-Resistor-Surface-Mount_YAGEO-RC0603FR-0747K5L_C137715.html" TargetMode="External"/><Relationship Id="rId2" Type="http://schemas.openxmlformats.org/officeDocument/2006/relationships/hyperlink" Target="https://www.lcsc.com/product-detail/Light-Emitting-Diodes-span-style-background-color-ff0-LED-span_TOGIALED-TJ-S1005SW4TGLC2G-A5_C273602.html" TargetMode="External"/><Relationship Id="rId16" Type="http://schemas.openxmlformats.org/officeDocument/2006/relationships/hyperlink" Target="https://www.lcsc.com/product-detail/MOSFETs_Diodes-Incorporated-BSS8402DW-7-F_C156386.html" TargetMode="External"/><Relationship Id="rId20" Type="http://schemas.openxmlformats.org/officeDocument/2006/relationships/hyperlink" Target="https://www.lcsc.com/product-detail/Chip-span-style-background-color-ff0-Resistor-span-Surface-Mount_UNI-ROYAL-Uniroyal-Elec-0603WAF2212T5E_C25961.html" TargetMode="External"/><Relationship Id="rId1" Type="http://schemas.openxmlformats.org/officeDocument/2006/relationships/hyperlink" Target="https://www.lcsc.com/product-detail/Multilayer-Ceramic-Capacitors-MLCC-SMD-SMT_Samsung-Electro-Mechanics-CL10A105KA8NNNC_C5673.html" TargetMode="External"/><Relationship Id="rId6" Type="http://schemas.openxmlformats.org/officeDocument/2006/relationships/hyperlink" Target="https://www.lcsc.com/product-detail/Chip-Resistor-Surface-Mount_YAGEO-RC0603FR-07560RL_C114629.html" TargetMode="External"/><Relationship Id="rId11" Type="http://schemas.openxmlformats.org/officeDocument/2006/relationships/hyperlink" Target="https://www.lcsc.com/product-detail/Linear-Voltage-Regulators-LDO_ON-Semiconductor-NCP692MN33T2G_C145519.html" TargetMode="External"/><Relationship Id="rId5" Type="http://schemas.openxmlformats.org/officeDocument/2006/relationships/hyperlink" Target="https://www.lcsc.com/product-detail/Chip-Resistor-Surface-Mount_YAGEO-RC0603FR-074K7L_C99782.html" TargetMode="External"/><Relationship Id="rId15" Type="http://schemas.openxmlformats.org/officeDocument/2006/relationships/hyperlink" Target="https://www.lcsc.com/product-detail/Bipolar-Transistors-BJT_Diodes-Incorporated-MMBT2222A-7-F_C94515.html" TargetMode="External"/><Relationship Id="rId10" Type="http://schemas.openxmlformats.org/officeDocument/2006/relationships/hyperlink" Target="https://www.lcsc.com/product-detail/Comparators_STMicroelectronics-LM393ADT_C136033.html" TargetMode="External"/><Relationship Id="rId19" Type="http://schemas.openxmlformats.org/officeDocument/2006/relationships/hyperlink" Target="https://www.lcsc.com/product-detail/Chip-span-style-background-color-ff0-Resistor-span-Surface-Mount_RALEC-RTT03102JTP_C103209.html" TargetMode="External"/><Relationship Id="rId4" Type="http://schemas.openxmlformats.org/officeDocument/2006/relationships/hyperlink" Target="https://www.lcsc.com/product-detail/Chip-Resistor-Surface-Mount_RALEC-RTT03103JTP_C103210.html" TargetMode="External"/><Relationship Id="rId9" Type="http://schemas.openxmlformats.org/officeDocument/2006/relationships/hyperlink" Target="https://www.lcsc.com/product-detail/WiFi-Modules_Espressif-Systems-ESP32-WROOM-32D-8MB_C529577.html" TargetMode="External"/><Relationship Id="rId14" Type="http://schemas.openxmlformats.org/officeDocument/2006/relationships/hyperlink" Target="https://www.lcsc.com/product-detail/Multilayer-Ceramic-Capacitors-MLCC-SMD-SMT_Murata-Electronics-GRM188R61E475KE11D_C90057.html" TargetMode="External"/><Relationship Id="rId22" Type="http://schemas.openxmlformats.org/officeDocument/2006/relationships/hyperlink" Target="https://www.lcsc.com/product-detail/USB-ICs_SILICON-LABS-CP2102N-A02-GQFN24R_C96915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topLeftCell="J1" workbookViewId="0">
      <selection activeCell="N9" sqref="N9"/>
    </sheetView>
  </sheetViews>
  <sheetFormatPr defaultColWidth="9" defaultRowHeight="15"/>
  <cols>
    <col min="1" max="1" width="6.7109375" customWidth="1"/>
    <col min="2" max="2" width="13.42578125" customWidth="1"/>
    <col min="3" max="3" width="38.85546875" customWidth="1"/>
    <col min="4" max="4" width="21" customWidth="1"/>
    <col min="5" max="5" width="20.5703125" customWidth="1"/>
    <col min="6" max="6" width="28.42578125" customWidth="1"/>
    <col min="7" max="7" width="17.5703125" customWidth="1"/>
    <col min="8" max="8" width="14.7109375" customWidth="1"/>
    <col min="9" max="9" width="21.7109375" customWidth="1"/>
    <col min="11" max="11" width="21.85546875" customWidth="1"/>
    <col min="12" max="12" width="12.5703125" style="1" customWidth="1"/>
    <col min="13" max="13" width="11.42578125" customWidth="1"/>
    <col min="14" max="14" width="12.85546875" style="2" customWidth="1"/>
    <col min="15" max="15" width="12.42578125" style="2" customWidth="1"/>
    <col min="16" max="17" width="13.42578125" customWidth="1"/>
    <col min="18" max="18" width="20.5703125" style="2" customWidth="1"/>
    <col min="19" max="19" width="14" customWidth="1"/>
    <col min="20" max="20" width="24.7109375" customWidth="1"/>
  </cols>
  <sheetData>
    <row r="1" spans="1:20" ht="16.5" thickBot="1">
      <c r="A1" s="106" t="s">
        <v>0</v>
      </c>
      <c r="B1" s="107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110"/>
      <c r="S1" s="3"/>
      <c r="T1" s="69"/>
    </row>
    <row r="2" spans="1:20" ht="16.5" thickBot="1">
      <c r="A2" s="4" t="s">
        <v>1</v>
      </c>
      <c r="B2" s="5" t="s">
        <v>2</v>
      </c>
      <c r="C2" s="6" t="s">
        <v>3</v>
      </c>
      <c r="D2" s="4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33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70" t="s">
        <v>19</v>
      </c>
      <c r="T2" s="6" t="s">
        <v>20</v>
      </c>
    </row>
    <row r="3" spans="1:20" ht="15.75" thickBot="1">
      <c r="A3" s="7">
        <v>1</v>
      </c>
      <c r="B3" s="113" t="s">
        <v>21</v>
      </c>
      <c r="C3" s="8" t="s">
        <v>22</v>
      </c>
      <c r="D3" s="132" t="s">
        <v>191</v>
      </c>
      <c r="E3" s="89" t="s">
        <v>23</v>
      </c>
      <c r="F3" s="89" t="s">
        <v>24</v>
      </c>
      <c r="G3" s="10" t="s">
        <v>25</v>
      </c>
      <c r="H3" s="11" t="s">
        <v>26</v>
      </c>
      <c r="I3" s="34" t="s">
        <v>27</v>
      </c>
      <c r="J3" s="90" t="s">
        <v>28</v>
      </c>
      <c r="K3" s="10">
        <v>6</v>
      </c>
      <c r="L3" s="35">
        <v>50</v>
      </c>
      <c r="M3" s="36">
        <f>K3*5</f>
        <v>30</v>
      </c>
      <c r="N3" s="37" t="s">
        <v>29</v>
      </c>
      <c r="O3" s="38">
        <v>9.4000000000000004E-3</v>
      </c>
      <c r="P3" s="39">
        <f t="shared" ref="P3:P13" si="0">O3*K3</f>
        <v>5.6400000000000006E-2</v>
      </c>
      <c r="Q3" s="39">
        <f t="shared" ref="Q3:Q13" si="1">O3*L3</f>
        <v>0.47000000000000003</v>
      </c>
      <c r="R3" s="38">
        <v>9.4000000000000004E-3</v>
      </c>
      <c r="S3" s="39">
        <f t="shared" ref="S3:S13" si="2">R3*M3</f>
        <v>0.28200000000000003</v>
      </c>
      <c r="T3" s="71"/>
    </row>
    <row r="4" spans="1:20" ht="15.75" thickBot="1">
      <c r="A4" s="7"/>
      <c r="B4" s="114"/>
      <c r="C4" s="91" t="s">
        <v>188</v>
      </c>
      <c r="D4" s="92" t="s">
        <v>189</v>
      </c>
      <c r="E4" s="93" t="s">
        <v>23</v>
      </c>
      <c r="F4" s="131" t="s">
        <v>190</v>
      </c>
      <c r="G4" s="16" t="s">
        <v>25</v>
      </c>
      <c r="H4" s="123" t="s">
        <v>192</v>
      </c>
      <c r="I4" s="126" t="s">
        <v>35</v>
      </c>
      <c r="J4" s="124" t="s">
        <v>193</v>
      </c>
      <c r="K4" s="122">
        <v>1</v>
      </c>
      <c r="L4" s="125">
        <v>7</v>
      </c>
      <c r="M4" s="36">
        <f>K4*5</f>
        <v>5</v>
      </c>
      <c r="N4" s="127"/>
      <c r="O4" s="128">
        <v>0.19919999999999999</v>
      </c>
      <c r="P4" s="129"/>
      <c r="Q4" s="129"/>
      <c r="R4" s="128"/>
      <c r="S4" s="129"/>
      <c r="T4" s="130"/>
    </row>
    <row r="5" spans="1:20" ht="15" customHeight="1" thickBot="1">
      <c r="A5" s="7">
        <v>2</v>
      </c>
      <c r="B5" s="114"/>
      <c r="C5" s="91" t="s">
        <v>30</v>
      </c>
      <c r="D5" s="92" t="s">
        <v>31</v>
      </c>
      <c r="E5" s="93" t="s">
        <v>23</v>
      </c>
      <c r="F5" s="93" t="s">
        <v>32</v>
      </c>
      <c r="G5" s="16" t="s">
        <v>33</v>
      </c>
      <c r="H5" s="17" t="s">
        <v>34</v>
      </c>
      <c r="I5" s="27" t="s">
        <v>35</v>
      </c>
      <c r="J5" s="15" t="s">
        <v>36</v>
      </c>
      <c r="K5" s="16">
        <v>2</v>
      </c>
      <c r="L5" s="40">
        <v>20</v>
      </c>
      <c r="M5" s="27">
        <f t="shared" ref="M5:M33" si="3">K5*5</f>
        <v>10</v>
      </c>
      <c r="N5" s="41" t="s">
        <v>29</v>
      </c>
      <c r="O5" s="42">
        <v>5.7599999999999998E-2</v>
      </c>
      <c r="P5" s="43">
        <f t="shared" si="0"/>
        <v>0.1152</v>
      </c>
      <c r="Q5" s="43">
        <f t="shared" si="1"/>
        <v>1.1519999999999999</v>
      </c>
      <c r="R5" s="42">
        <v>5.7599999999999998E-2</v>
      </c>
      <c r="S5" s="43">
        <f t="shared" si="2"/>
        <v>0.57599999999999996</v>
      </c>
      <c r="T5" s="72"/>
    </row>
    <row r="6" spans="1:20" ht="15" customHeight="1" thickBot="1">
      <c r="A6" s="7">
        <v>3</v>
      </c>
      <c r="B6" s="115"/>
      <c r="C6" s="18" t="s">
        <v>37</v>
      </c>
      <c r="D6" s="94" t="s">
        <v>38</v>
      </c>
      <c r="E6" s="95" t="s">
        <v>23</v>
      </c>
      <c r="F6" s="95" t="s">
        <v>39</v>
      </c>
      <c r="G6" s="21" t="s">
        <v>25</v>
      </c>
      <c r="H6" s="22" t="s">
        <v>40</v>
      </c>
      <c r="I6" s="32" t="s">
        <v>35</v>
      </c>
      <c r="J6" s="95" t="s">
        <v>41</v>
      </c>
      <c r="K6" s="21">
        <v>2</v>
      </c>
      <c r="L6" s="44">
        <v>50</v>
      </c>
      <c r="M6" s="32">
        <f t="shared" si="3"/>
        <v>10</v>
      </c>
      <c r="N6" s="45" t="s">
        <v>29</v>
      </c>
      <c r="O6" s="46">
        <v>5.1000000000000004E-3</v>
      </c>
      <c r="P6" s="47">
        <f t="shared" si="0"/>
        <v>1.0200000000000001E-2</v>
      </c>
      <c r="Q6" s="47">
        <f t="shared" si="1"/>
        <v>0.255</v>
      </c>
      <c r="R6" s="46">
        <v>5.1000000000000004E-3</v>
      </c>
      <c r="S6" s="47">
        <f t="shared" si="2"/>
        <v>5.1000000000000004E-2</v>
      </c>
      <c r="T6" s="73"/>
    </row>
    <row r="7" spans="1:20" ht="16.5" thickBot="1">
      <c r="A7" s="7">
        <v>4</v>
      </c>
      <c r="B7" s="12" t="s">
        <v>42</v>
      </c>
      <c r="C7" s="96" t="s">
        <v>43</v>
      </c>
      <c r="D7" s="97" t="s">
        <v>187</v>
      </c>
      <c r="E7" s="98" t="s">
        <v>44</v>
      </c>
      <c r="F7" s="98" t="s">
        <v>45</v>
      </c>
      <c r="G7" s="24" t="s">
        <v>46</v>
      </c>
      <c r="H7" s="25" t="s">
        <v>47</v>
      </c>
      <c r="I7" s="48" t="s">
        <v>48</v>
      </c>
      <c r="J7" s="24" t="s">
        <v>35</v>
      </c>
      <c r="K7" s="24">
        <v>4</v>
      </c>
      <c r="L7" s="49">
        <v>30</v>
      </c>
      <c r="M7" s="48">
        <f t="shared" si="3"/>
        <v>20</v>
      </c>
      <c r="N7" s="50" t="s">
        <v>29</v>
      </c>
      <c r="O7" s="51">
        <v>6.3200000000000006E-2</v>
      </c>
      <c r="P7" s="52">
        <f t="shared" si="0"/>
        <v>0.25280000000000002</v>
      </c>
      <c r="Q7" s="52">
        <f t="shared" si="1"/>
        <v>1.8960000000000001</v>
      </c>
      <c r="R7" s="51">
        <v>6.3200000000000006E-2</v>
      </c>
      <c r="S7" s="52">
        <f t="shared" si="2"/>
        <v>1.2640000000000002</v>
      </c>
      <c r="T7" s="74"/>
    </row>
    <row r="8" spans="1:20" ht="16.5" thickBot="1">
      <c r="A8" s="7"/>
      <c r="B8" s="12"/>
      <c r="C8" s="91" t="s">
        <v>173</v>
      </c>
      <c r="D8" s="92" t="s">
        <v>174</v>
      </c>
      <c r="E8" s="93" t="s">
        <v>175</v>
      </c>
      <c r="F8" s="93" t="s">
        <v>176</v>
      </c>
      <c r="G8" s="16" t="s">
        <v>177</v>
      </c>
      <c r="H8" s="17"/>
      <c r="I8" s="27"/>
      <c r="J8" s="16"/>
      <c r="K8" s="16">
        <v>1</v>
      </c>
      <c r="L8" s="40"/>
      <c r="M8" s="48">
        <f t="shared" si="3"/>
        <v>5</v>
      </c>
      <c r="N8" s="50"/>
      <c r="O8" s="51"/>
      <c r="P8" s="52"/>
      <c r="Q8" s="52"/>
      <c r="R8" s="51"/>
      <c r="S8" s="52"/>
      <c r="T8" s="74"/>
    </row>
    <row r="9" spans="1:20" ht="16.5" thickBot="1">
      <c r="A9" s="7"/>
      <c r="B9" s="12"/>
      <c r="C9" s="91" t="s">
        <v>178</v>
      </c>
      <c r="D9" s="92" t="s">
        <v>179</v>
      </c>
      <c r="E9" s="93" t="s">
        <v>175</v>
      </c>
      <c r="F9" s="93" t="s">
        <v>180</v>
      </c>
      <c r="G9" s="16" t="s">
        <v>177</v>
      </c>
      <c r="H9" s="17"/>
      <c r="I9" s="27"/>
      <c r="J9" s="16"/>
      <c r="K9" s="16">
        <v>1</v>
      </c>
      <c r="L9" s="40"/>
      <c r="M9" s="48">
        <f t="shared" si="3"/>
        <v>5</v>
      </c>
      <c r="N9" s="50"/>
      <c r="O9" s="51"/>
      <c r="P9" s="52"/>
      <c r="Q9" s="52"/>
      <c r="R9" s="51"/>
      <c r="S9" s="52"/>
      <c r="T9" s="74"/>
    </row>
    <row r="10" spans="1:20" ht="16.5" thickBot="1">
      <c r="A10" s="7"/>
      <c r="B10" s="12"/>
      <c r="C10" s="91" t="s">
        <v>181</v>
      </c>
      <c r="D10" s="92" t="s">
        <v>182</v>
      </c>
      <c r="E10" s="93" t="s">
        <v>175</v>
      </c>
      <c r="F10" s="93" t="s">
        <v>183</v>
      </c>
      <c r="G10" s="16" t="s">
        <v>177</v>
      </c>
      <c r="H10" s="17"/>
      <c r="I10" s="27"/>
      <c r="J10" s="16"/>
      <c r="K10" s="16">
        <v>1</v>
      </c>
      <c r="L10" s="40"/>
      <c r="M10" s="48">
        <f t="shared" si="3"/>
        <v>5</v>
      </c>
      <c r="N10" s="50"/>
      <c r="O10" s="51"/>
      <c r="P10" s="52"/>
      <c r="Q10" s="52"/>
      <c r="R10" s="51"/>
      <c r="S10" s="52"/>
      <c r="T10" s="74"/>
    </row>
    <row r="11" spans="1:20" ht="16.5" thickBot="1">
      <c r="A11" s="7"/>
      <c r="B11" s="12"/>
      <c r="C11" s="103" t="s">
        <v>184</v>
      </c>
      <c r="D11" s="94" t="s">
        <v>185</v>
      </c>
      <c r="E11" s="95" t="s">
        <v>175</v>
      </c>
      <c r="F11" s="95" t="s">
        <v>186</v>
      </c>
      <c r="G11" s="21" t="s">
        <v>177</v>
      </c>
      <c r="H11" s="25"/>
      <c r="I11" s="48"/>
      <c r="J11" s="24"/>
      <c r="K11" s="24">
        <v>1</v>
      </c>
      <c r="L11" s="49"/>
      <c r="M11" s="48">
        <f t="shared" si="3"/>
        <v>5</v>
      </c>
      <c r="N11" s="50"/>
      <c r="O11" s="51"/>
      <c r="P11" s="52"/>
      <c r="Q11" s="52"/>
      <c r="R11" s="51"/>
      <c r="S11" s="52"/>
      <c r="T11" s="74"/>
    </row>
    <row r="12" spans="1:20" ht="15" customHeight="1" thickBot="1">
      <c r="A12" s="7">
        <v>5</v>
      </c>
      <c r="B12" s="116" t="s">
        <v>49</v>
      </c>
      <c r="C12" s="99" t="s">
        <v>50</v>
      </c>
      <c r="D12" s="88" t="s">
        <v>51</v>
      </c>
      <c r="E12" s="90" t="s">
        <v>52</v>
      </c>
      <c r="F12" s="90" t="s">
        <v>53</v>
      </c>
      <c r="G12" s="10" t="s">
        <v>54</v>
      </c>
      <c r="H12" s="11" t="s">
        <v>55</v>
      </c>
      <c r="I12" s="10" t="s">
        <v>35</v>
      </c>
      <c r="J12" s="10" t="s">
        <v>35</v>
      </c>
      <c r="K12" s="10">
        <v>1</v>
      </c>
      <c r="L12" s="35">
        <v>10</v>
      </c>
      <c r="M12" s="36">
        <f t="shared" si="3"/>
        <v>5</v>
      </c>
      <c r="N12" s="53" t="s">
        <v>29</v>
      </c>
      <c r="O12" s="38">
        <v>0.1124</v>
      </c>
      <c r="P12" s="39">
        <f t="shared" si="0"/>
        <v>0.1124</v>
      </c>
      <c r="Q12" s="39">
        <f t="shared" si="1"/>
        <v>1.1240000000000001</v>
      </c>
      <c r="R12" s="38">
        <v>0.1124</v>
      </c>
      <c r="S12" s="39">
        <f t="shared" si="2"/>
        <v>0.56200000000000006</v>
      </c>
      <c r="T12" s="71"/>
    </row>
    <row r="13" spans="1:20" ht="15" customHeight="1" thickBot="1">
      <c r="A13" s="7">
        <v>6</v>
      </c>
      <c r="B13" s="117"/>
      <c r="C13" s="13" t="s">
        <v>56</v>
      </c>
      <c r="D13" s="92" t="s">
        <v>57</v>
      </c>
      <c r="E13" s="93" t="s">
        <v>58</v>
      </c>
      <c r="F13" s="93" t="s">
        <v>59</v>
      </c>
      <c r="G13" s="16" t="s">
        <v>54</v>
      </c>
      <c r="H13" s="17" t="s">
        <v>60</v>
      </c>
      <c r="I13" s="16" t="s">
        <v>35</v>
      </c>
      <c r="J13" s="16" t="s">
        <v>35</v>
      </c>
      <c r="K13" s="16">
        <v>2</v>
      </c>
      <c r="L13" s="40">
        <v>20</v>
      </c>
      <c r="M13" s="27">
        <f t="shared" si="3"/>
        <v>10</v>
      </c>
      <c r="N13" s="54" t="s">
        <v>29</v>
      </c>
      <c r="O13" s="42">
        <v>3.5400000000000001E-2</v>
      </c>
      <c r="P13" s="43">
        <f t="shared" si="0"/>
        <v>7.0800000000000002E-2</v>
      </c>
      <c r="Q13" s="43">
        <f t="shared" si="1"/>
        <v>0.70799999999999996</v>
      </c>
      <c r="R13" s="42">
        <v>3.5400000000000001E-2</v>
      </c>
      <c r="S13" s="43">
        <f t="shared" si="2"/>
        <v>0.35399999999999998</v>
      </c>
      <c r="T13" s="72"/>
    </row>
    <row r="14" spans="1:20" ht="26.25" thickBot="1">
      <c r="A14" s="7">
        <v>8</v>
      </c>
      <c r="B14" s="113" t="s">
        <v>65</v>
      </c>
      <c r="C14" s="8" t="s">
        <v>66</v>
      </c>
      <c r="D14" s="88" t="s">
        <v>67</v>
      </c>
      <c r="E14" s="90" t="s">
        <v>68</v>
      </c>
      <c r="F14" s="90" t="s">
        <v>69</v>
      </c>
      <c r="G14" s="10" t="s">
        <v>70</v>
      </c>
      <c r="H14" s="11" t="s">
        <v>71</v>
      </c>
      <c r="I14" s="36" t="s">
        <v>72</v>
      </c>
      <c r="J14" s="90" t="s">
        <v>73</v>
      </c>
      <c r="K14" s="26">
        <v>5</v>
      </c>
      <c r="L14" s="35">
        <v>100</v>
      </c>
      <c r="M14" s="36">
        <f t="shared" si="3"/>
        <v>25</v>
      </c>
      <c r="N14" s="53" t="s">
        <v>29</v>
      </c>
      <c r="O14" s="38">
        <v>1.1999999999999999E-3</v>
      </c>
      <c r="P14" s="39">
        <f t="shared" ref="P14:P24" si="4">O14*K14</f>
        <v>5.9999999999999993E-3</v>
      </c>
      <c r="Q14" s="39">
        <f t="shared" ref="Q14:Q18" si="5">O14*L14</f>
        <v>0.12</v>
      </c>
      <c r="R14" s="38">
        <v>1.1999999999999999E-3</v>
      </c>
      <c r="S14" s="39">
        <f t="shared" ref="S14:S18" si="6">R14*M14</f>
        <v>0.03</v>
      </c>
      <c r="T14" s="71"/>
    </row>
    <row r="15" spans="1:20">
      <c r="A15" s="7">
        <v>9</v>
      </c>
      <c r="B15" s="114"/>
      <c r="C15" s="100" t="s">
        <v>74</v>
      </c>
      <c r="D15" s="92" t="s">
        <v>75</v>
      </c>
      <c r="E15" s="15" t="s">
        <v>76</v>
      </c>
      <c r="F15" s="93" t="s">
        <v>77</v>
      </c>
      <c r="G15" s="16" t="s">
        <v>78</v>
      </c>
      <c r="H15" s="27" t="s">
        <v>35</v>
      </c>
      <c r="I15" s="27" t="s">
        <v>35</v>
      </c>
      <c r="J15" s="93" t="s">
        <v>73</v>
      </c>
      <c r="K15" s="15">
        <v>1</v>
      </c>
      <c r="L15" s="40">
        <v>7</v>
      </c>
      <c r="M15" s="27">
        <f t="shared" si="3"/>
        <v>5</v>
      </c>
      <c r="N15" s="41" t="s">
        <v>79</v>
      </c>
      <c r="O15" s="43">
        <v>0.47620000000000001</v>
      </c>
      <c r="P15" s="39">
        <f>O15*K15</f>
        <v>0.47620000000000001</v>
      </c>
      <c r="Q15" s="39">
        <f>O15*L15</f>
        <v>3.3334000000000001</v>
      </c>
      <c r="R15" s="43">
        <v>0.47620000000000001</v>
      </c>
      <c r="S15" s="39">
        <f>R15*M15</f>
        <v>2.3810000000000002</v>
      </c>
      <c r="T15" s="75"/>
    </row>
    <row r="16" spans="1:20">
      <c r="A16" s="7">
        <v>10</v>
      </c>
      <c r="B16" s="114"/>
      <c r="C16" s="100" t="s">
        <v>80</v>
      </c>
      <c r="D16" s="92" t="s">
        <v>81</v>
      </c>
      <c r="E16" s="93" t="s">
        <v>68</v>
      </c>
      <c r="F16" s="93" t="s">
        <v>82</v>
      </c>
      <c r="G16" s="16" t="s">
        <v>83</v>
      </c>
      <c r="H16" s="17" t="s">
        <v>84</v>
      </c>
      <c r="I16" s="27" t="s">
        <v>35</v>
      </c>
      <c r="J16" s="93" t="s">
        <v>85</v>
      </c>
      <c r="K16" s="15">
        <v>2</v>
      </c>
      <c r="L16" s="56">
        <v>100</v>
      </c>
      <c r="M16" s="27">
        <f t="shared" si="3"/>
        <v>10</v>
      </c>
      <c r="N16" s="54" t="s">
        <v>29</v>
      </c>
      <c r="O16" s="42">
        <v>1.6000000000000001E-3</v>
      </c>
      <c r="P16" s="43">
        <f t="shared" si="4"/>
        <v>3.2000000000000002E-3</v>
      </c>
      <c r="Q16" s="43">
        <f t="shared" si="5"/>
        <v>0.16</v>
      </c>
      <c r="R16" s="42">
        <v>1.6000000000000001E-3</v>
      </c>
      <c r="S16" s="43">
        <f t="shared" si="6"/>
        <v>1.6E-2</v>
      </c>
      <c r="T16" s="75"/>
    </row>
    <row r="17" spans="1:20">
      <c r="A17" s="7">
        <v>11</v>
      </c>
      <c r="B17" s="114"/>
      <c r="C17" s="13" t="s">
        <v>86</v>
      </c>
      <c r="D17" s="92" t="s">
        <v>87</v>
      </c>
      <c r="E17" s="93" t="s">
        <v>68</v>
      </c>
      <c r="F17" s="93" t="s">
        <v>88</v>
      </c>
      <c r="G17" s="16" t="s">
        <v>83</v>
      </c>
      <c r="H17" s="17" t="s">
        <v>89</v>
      </c>
      <c r="I17" s="17" t="s">
        <v>90</v>
      </c>
      <c r="J17" s="93" t="s">
        <v>91</v>
      </c>
      <c r="K17" s="15">
        <v>1</v>
      </c>
      <c r="L17" s="56">
        <v>100</v>
      </c>
      <c r="M17" s="27">
        <f t="shared" si="3"/>
        <v>5</v>
      </c>
      <c r="N17" s="54" t="s">
        <v>29</v>
      </c>
      <c r="O17" s="42">
        <v>1.6999999999999999E-3</v>
      </c>
      <c r="P17" s="43">
        <f t="shared" si="4"/>
        <v>1.6999999999999999E-3</v>
      </c>
      <c r="Q17" s="43">
        <f t="shared" si="5"/>
        <v>0.16999999999999998</v>
      </c>
      <c r="R17" s="42">
        <v>1.6999999999999999E-3</v>
      </c>
      <c r="S17" s="43">
        <f t="shared" si="6"/>
        <v>8.4999999999999989E-3</v>
      </c>
      <c r="T17" s="76"/>
    </row>
    <row r="18" spans="1:20">
      <c r="A18" s="7">
        <v>12</v>
      </c>
      <c r="B18" s="114"/>
      <c r="C18" s="13" t="s">
        <v>92</v>
      </c>
      <c r="D18" s="92" t="s">
        <v>93</v>
      </c>
      <c r="E18" s="93" t="s">
        <v>68</v>
      </c>
      <c r="F18" s="93" t="s">
        <v>94</v>
      </c>
      <c r="G18" s="16" t="s">
        <v>83</v>
      </c>
      <c r="H18" s="27" t="s">
        <v>95</v>
      </c>
      <c r="I18" s="27" t="s">
        <v>35</v>
      </c>
      <c r="J18" s="93" t="s">
        <v>96</v>
      </c>
      <c r="K18" s="15">
        <v>3</v>
      </c>
      <c r="L18" s="56">
        <v>100</v>
      </c>
      <c r="M18" s="27">
        <f t="shared" si="3"/>
        <v>15</v>
      </c>
      <c r="N18" s="54" t="s">
        <v>29</v>
      </c>
      <c r="O18" s="43">
        <v>1.9E-3</v>
      </c>
      <c r="P18" s="43">
        <f t="shared" si="4"/>
        <v>5.7000000000000002E-3</v>
      </c>
      <c r="Q18" s="43">
        <f t="shared" si="5"/>
        <v>0.19</v>
      </c>
      <c r="R18" s="43">
        <v>1.9E-3</v>
      </c>
      <c r="S18" s="43">
        <f t="shared" si="6"/>
        <v>2.8500000000000001E-2</v>
      </c>
      <c r="T18" s="77"/>
    </row>
    <row r="19" spans="1:20">
      <c r="A19" s="7">
        <v>13</v>
      </c>
      <c r="B19" s="114"/>
      <c r="C19" s="100" t="s">
        <v>97</v>
      </c>
      <c r="D19" s="92" t="s">
        <v>98</v>
      </c>
      <c r="E19" s="93" t="s">
        <v>68</v>
      </c>
      <c r="F19" s="93" t="s">
        <v>99</v>
      </c>
      <c r="G19" s="16" t="s">
        <v>100</v>
      </c>
      <c r="H19" s="27" t="s">
        <v>101</v>
      </c>
      <c r="I19" s="27" t="s">
        <v>35</v>
      </c>
      <c r="J19" s="15" t="s">
        <v>102</v>
      </c>
      <c r="K19" s="15">
        <v>1</v>
      </c>
      <c r="L19" s="40">
        <v>100</v>
      </c>
      <c r="M19" s="27">
        <f t="shared" si="3"/>
        <v>5</v>
      </c>
      <c r="N19" s="54" t="s">
        <v>29</v>
      </c>
      <c r="O19" s="43">
        <v>1.2999999999999999E-3</v>
      </c>
      <c r="P19" s="43">
        <f t="shared" si="4"/>
        <v>1.2999999999999999E-3</v>
      </c>
      <c r="Q19" s="43">
        <f t="shared" ref="Q19:Q24" si="7">O19*L19</f>
        <v>0.13</v>
      </c>
      <c r="R19" s="43">
        <v>1.2999999999999999E-3</v>
      </c>
      <c r="S19" s="43">
        <f t="shared" ref="S19:S24" si="8">R19*M19</f>
        <v>6.4999999999999997E-3</v>
      </c>
      <c r="T19" s="78"/>
    </row>
    <row r="20" spans="1:20">
      <c r="A20" s="7">
        <v>14</v>
      </c>
      <c r="B20" s="114"/>
      <c r="C20" s="100" t="s">
        <v>103</v>
      </c>
      <c r="D20" s="92" t="s">
        <v>104</v>
      </c>
      <c r="E20" s="93" t="s">
        <v>68</v>
      </c>
      <c r="F20" s="93" t="s">
        <v>105</v>
      </c>
      <c r="G20" s="16" t="s">
        <v>106</v>
      </c>
      <c r="H20" s="27" t="s">
        <v>107</v>
      </c>
      <c r="I20" s="27" t="s">
        <v>35</v>
      </c>
      <c r="J20" s="15" t="s">
        <v>108</v>
      </c>
      <c r="K20" s="15">
        <v>1</v>
      </c>
      <c r="L20" s="40">
        <v>100</v>
      </c>
      <c r="M20" s="27">
        <f t="shared" si="3"/>
        <v>5</v>
      </c>
      <c r="N20" s="54" t="s">
        <v>29</v>
      </c>
      <c r="O20" s="43">
        <v>1.4E-3</v>
      </c>
      <c r="P20" s="43">
        <f t="shared" si="4"/>
        <v>1.4E-3</v>
      </c>
      <c r="Q20" s="43">
        <f t="shared" si="7"/>
        <v>0.13999999999999999</v>
      </c>
      <c r="R20" s="43">
        <v>1.4E-3</v>
      </c>
      <c r="S20" s="43">
        <f t="shared" si="8"/>
        <v>7.0000000000000001E-3</v>
      </c>
      <c r="T20" s="78"/>
    </row>
    <row r="21" spans="1:20">
      <c r="A21" s="7">
        <v>15</v>
      </c>
      <c r="B21" s="114"/>
      <c r="C21" s="13" t="s">
        <v>109</v>
      </c>
      <c r="D21" s="92" t="s">
        <v>110</v>
      </c>
      <c r="E21" s="93" t="s">
        <v>68</v>
      </c>
      <c r="F21" s="93" t="s">
        <v>111</v>
      </c>
      <c r="G21" s="16" t="s">
        <v>83</v>
      </c>
      <c r="H21" s="17" t="s">
        <v>112</v>
      </c>
      <c r="I21" s="27" t="s">
        <v>35</v>
      </c>
      <c r="J21" s="15" t="s">
        <v>113</v>
      </c>
      <c r="K21" s="15">
        <v>1</v>
      </c>
      <c r="L21" s="40">
        <v>100</v>
      </c>
      <c r="M21" s="27">
        <f t="shared" si="3"/>
        <v>5</v>
      </c>
      <c r="N21" s="41" t="s">
        <v>29</v>
      </c>
      <c r="O21" s="43">
        <v>1.9E-3</v>
      </c>
      <c r="P21" s="43">
        <f t="shared" si="4"/>
        <v>1.9E-3</v>
      </c>
      <c r="Q21" s="43">
        <f t="shared" si="7"/>
        <v>0.19</v>
      </c>
      <c r="R21" s="43">
        <v>1.9E-3</v>
      </c>
      <c r="S21" s="43">
        <f t="shared" si="8"/>
        <v>9.4999999999999998E-3</v>
      </c>
      <c r="T21" s="79"/>
    </row>
    <row r="22" spans="1:20">
      <c r="A22" s="7">
        <v>16</v>
      </c>
      <c r="B22" s="114"/>
      <c r="C22" s="100" t="s">
        <v>114</v>
      </c>
      <c r="D22" s="92" t="s">
        <v>115</v>
      </c>
      <c r="E22" s="93" t="s">
        <v>68</v>
      </c>
      <c r="F22" s="93" t="s">
        <v>116</v>
      </c>
      <c r="G22" s="16" t="s">
        <v>83</v>
      </c>
      <c r="H22" s="17" t="s">
        <v>117</v>
      </c>
      <c r="I22" s="27" t="s">
        <v>35</v>
      </c>
      <c r="J22" s="15" t="s">
        <v>118</v>
      </c>
      <c r="K22" s="15">
        <v>1</v>
      </c>
      <c r="L22" s="40">
        <v>100</v>
      </c>
      <c r="M22" s="27">
        <f t="shared" si="3"/>
        <v>5</v>
      </c>
      <c r="N22" s="41" t="s">
        <v>29</v>
      </c>
      <c r="O22" s="43">
        <v>1.2999999999999999E-3</v>
      </c>
      <c r="P22" s="43">
        <f t="shared" si="4"/>
        <v>1.2999999999999999E-3</v>
      </c>
      <c r="Q22" s="43">
        <f t="shared" si="7"/>
        <v>0.13</v>
      </c>
      <c r="R22" s="43">
        <v>1.2999999999999999E-3</v>
      </c>
      <c r="S22" s="43">
        <f t="shared" si="8"/>
        <v>6.4999999999999997E-3</v>
      </c>
      <c r="T22" s="80"/>
    </row>
    <row r="23" spans="1:20">
      <c r="A23" s="7">
        <v>17</v>
      </c>
      <c r="B23" s="115"/>
      <c r="C23" s="18" t="s">
        <v>119</v>
      </c>
      <c r="D23" s="94" t="s">
        <v>120</v>
      </c>
      <c r="E23" s="95" t="s">
        <v>68</v>
      </c>
      <c r="F23" s="95" t="s">
        <v>121</v>
      </c>
      <c r="G23" s="21" t="s">
        <v>83</v>
      </c>
      <c r="H23" s="22" t="s">
        <v>122</v>
      </c>
      <c r="I23" s="32" t="s">
        <v>35</v>
      </c>
      <c r="J23" s="20" t="s">
        <v>123</v>
      </c>
      <c r="K23" s="20">
        <v>4</v>
      </c>
      <c r="L23" s="44">
        <v>100</v>
      </c>
      <c r="M23" s="32">
        <f t="shared" si="3"/>
        <v>20</v>
      </c>
      <c r="N23" s="55" t="s">
        <v>29</v>
      </c>
      <c r="O23" s="47">
        <v>1.1000000000000001E-3</v>
      </c>
      <c r="P23" s="47">
        <f t="shared" si="4"/>
        <v>4.4000000000000003E-3</v>
      </c>
      <c r="Q23" s="47">
        <f t="shared" si="7"/>
        <v>0.11</v>
      </c>
      <c r="R23" s="47">
        <v>1.1000000000000001E-3</v>
      </c>
      <c r="S23" s="47">
        <f t="shared" si="8"/>
        <v>2.2000000000000002E-2</v>
      </c>
      <c r="T23" s="81"/>
    </row>
    <row r="24" spans="1:20" ht="15.75">
      <c r="A24" s="7">
        <v>18</v>
      </c>
      <c r="B24" s="12" t="s">
        <v>124</v>
      </c>
      <c r="C24" s="96" t="s">
        <v>125</v>
      </c>
      <c r="D24" s="97" t="s">
        <v>126</v>
      </c>
      <c r="E24" s="23" t="s">
        <v>76</v>
      </c>
      <c r="F24" s="98" t="s">
        <v>127</v>
      </c>
      <c r="G24" s="24" t="s">
        <v>35</v>
      </c>
      <c r="H24" s="25" t="s">
        <v>35</v>
      </c>
      <c r="I24" s="48" t="s">
        <v>35</v>
      </c>
      <c r="J24" s="24" t="s">
        <v>35</v>
      </c>
      <c r="K24" s="24">
        <v>1</v>
      </c>
      <c r="L24" s="49">
        <v>7</v>
      </c>
      <c r="M24" s="48">
        <f t="shared" si="3"/>
        <v>5</v>
      </c>
      <c r="N24" s="57" t="s">
        <v>79</v>
      </c>
      <c r="O24" s="52">
        <v>0.318</v>
      </c>
      <c r="P24" s="52">
        <f t="shared" si="4"/>
        <v>0.318</v>
      </c>
      <c r="Q24" s="52">
        <f t="shared" si="7"/>
        <v>2.226</v>
      </c>
      <c r="R24" s="52">
        <v>0.318</v>
      </c>
      <c r="S24" s="52">
        <f t="shared" si="8"/>
        <v>1.59</v>
      </c>
      <c r="T24" s="82"/>
    </row>
    <row r="25" spans="1:20" ht="16.5" thickBot="1">
      <c r="A25" s="7">
        <v>19</v>
      </c>
      <c r="B25" s="28" t="s">
        <v>128</v>
      </c>
      <c r="C25" s="101" t="s">
        <v>129</v>
      </c>
      <c r="D25" s="102" t="s">
        <v>130</v>
      </c>
      <c r="E25" s="29" t="s">
        <v>76</v>
      </c>
      <c r="F25" s="102" t="s">
        <v>131</v>
      </c>
      <c r="G25" s="30" t="s">
        <v>132</v>
      </c>
      <c r="H25" s="31" t="s">
        <v>133</v>
      </c>
      <c r="I25" s="58" t="s">
        <v>35</v>
      </c>
      <c r="J25" s="30" t="s">
        <v>35</v>
      </c>
      <c r="K25" s="30">
        <v>2</v>
      </c>
      <c r="L25" s="58">
        <v>12</v>
      </c>
      <c r="M25" s="58">
        <f t="shared" si="3"/>
        <v>10</v>
      </c>
      <c r="N25" s="59" t="s">
        <v>29</v>
      </c>
      <c r="O25" s="60">
        <v>0.41660000000000003</v>
      </c>
      <c r="P25" s="61">
        <f t="shared" ref="P25:P31" si="9">O25*K25</f>
        <v>0.83320000000000005</v>
      </c>
      <c r="Q25" s="61">
        <f t="shared" ref="Q25:Q31" si="10">O25*L25</f>
        <v>4.9992000000000001</v>
      </c>
      <c r="R25" s="61">
        <v>0.41660000000000003</v>
      </c>
      <c r="S25" s="61">
        <f t="shared" ref="S25:S31" si="11">R25*M25</f>
        <v>4.1660000000000004</v>
      </c>
      <c r="T25" s="83"/>
    </row>
    <row r="26" spans="1:20" ht="15" customHeight="1" thickBot="1">
      <c r="A26" s="7">
        <v>20</v>
      </c>
      <c r="B26" s="113" t="s">
        <v>134</v>
      </c>
      <c r="C26" s="99" t="s">
        <v>135</v>
      </c>
      <c r="D26" s="90" t="s">
        <v>136</v>
      </c>
      <c r="E26" s="26" t="s">
        <v>76</v>
      </c>
      <c r="F26" s="90" t="s">
        <v>137</v>
      </c>
      <c r="G26" s="10" t="s">
        <v>138</v>
      </c>
      <c r="H26" s="11" t="s">
        <v>139</v>
      </c>
      <c r="I26" s="36" t="s">
        <v>35</v>
      </c>
      <c r="J26" s="36" t="s">
        <v>35</v>
      </c>
      <c r="K26" s="26">
        <v>1</v>
      </c>
      <c r="L26" s="62">
        <v>6</v>
      </c>
      <c r="M26" s="36">
        <f t="shared" si="3"/>
        <v>5</v>
      </c>
      <c r="N26" s="37" t="s">
        <v>29</v>
      </c>
      <c r="O26" s="39">
        <v>5.1105</v>
      </c>
      <c r="P26" s="39">
        <f t="shared" si="9"/>
        <v>5.1105</v>
      </c>
      <c r="Q26" s="39">
        <f t="shared" si="10"/>
        <v>30.663</v>
      </c>
      <c r="R26" s="39">
        <v>5.1105</v>
      </c>
      <c r="S26" s="39">
        <f t="shared" si="11"/>
        <v>25.552500000000002</v>
      </c>
      <c r="T26" s="84"/>
    </row>
    <row r="27" spans="1:20" ht="15" customHeight="1" thickBot="1">
      <c r="A27" s="7">
        <v>21</v>
      </c>
      <c r="B27" s="114"/>
      <c r="C27" s="13" t="s">
        <v>140</v>
      </c>
      <c r="D27" s="93" t="s">
        <v>141</v>
      </c>
      <c r="E27" s="93" t="s">
        <v>142</v>
      </c>
      <c r="F27" s="93" t="s">
        <v>143</v>
      </c>
      <c r="G27" s="16" t="s">
        <v>144</v>
      </c>
      <c r="H27" s="17" t="s">
        <v>145</v>
      </c>
      <c r="I27" s="27" t="s">
        <v>35</v>
      </c>
      <c r="J27" s="27" t="s">
        <v>35</v>
      </c>
      <c r="K27" s="15">
        <v>1</v>
      </c>
      <c r="L27" s="63">
        <v>6</v>
      </c>
      <c r="M27" s="27">
        <f t="shared" si="3"/>
        <v>5</v>
      </c>
      <c r="N27" s="41" t="s">
        <v>29</v>
      </c>
      <c r="O27" s="43">
        <v>0.25119999999999998</v>
      </c>
      <c r="P27" s="43">
        <f t="shared" si="9"/>
        <v>0.25119999999999998</v>
      </c>
      <c r="Q27" s="43">
        <f t="shared" si="10"/>
        <v>1.5071999999999999</v>
      </c>
      <c r="R27" s="43">
        <v>0.25119999999999998</v>
      </c>
      <c r="S27" s="43">
        <f t="shared" si="11"/>
        <v>1.2559999999999998</v>
      </c>
      <c r="T27" s="85"/>
    </row>
    <row r="28" spans="1:20" ht="15" customHeight="1" thickBot="1">
      <c r="A28" s="7">
        <v>22</v>
      </c>
      <c r="B28" s="114"/>
      <c r="C28" s="13" t="s">
        <v>146</v>
      </c>
      <c r="D28" s="93" t="s">
        <v>147</v>
      </c>
      <c r="E28" s="93" t="s">
        <v>148</v>
      </c>
      <c r="F28" s="93" t="s">
        <v>149</v>
      </c>
      <c r="G28" s="16" t="s">
        <v>150</v>
      </c>
      <c r="H28" s="17" t="s">
        <v>151</v>
      </c>
      <c r="I28" s="27" t="s">
        <v>35</v>
      </c>
      <c r="J28" s="27" t="s">
        <v>35</v>
      </c>
      <c r="K28" s="15">
        <v>1</v>
      </c>
      <c r="L28" s="63">
        <v>6</v>
      </c>
      <c r="M28" s="27">
        <f t="shared" si="3"/>
        <v>5</v>
      </c>
      <c r="N28" s="41" t="s">
        <v>29</v>
      </c>
      <c r="O28" s="43">
        <v>1.65</v>
      </c>
      <c r="P28" s="43">
        <f t="shared" si="9"/>
        <v>1.65</v>
      </c>
      <c r="Q28" s="43">
        <f t="shared" si="10"/>
        <v>9.8999999999999986</v>
      </c>
      <c r="R28" s="43">
        <v>1.65</v>
      </c>
      <c r="S28" s="43">
        <f t="shared" si="11"/>
        <v>8.25</v>
      </c>
      <c r="T28" s="85"/>
    </row>
    <row r="29" spans="1:20" ht="15" customHeight="1" thickBot="1">
      <c r="A29" s="7">
        <v>23</v>
      </c>
      <c r="B29" s="115"/>
      <c r="C29" s="103" t="s">
        <v>152</v>
      </c>
      <c r="D29" s="95" t="s">
        <v>153</v>
      </c>
      <c r="E29" s="20" t="s">
        <v>154</v>
      </c>
      <c r="F29" s="95" t="s">
        <v>155</v>
      </c>
      <c r="G29" s="21" t="s">
        <v>156</v>
      </c>
      <c r="H29" s="22" t="s">
        <v>157</v>
      </c>
      <c r="I29" s="32" t="s">
        <v>35</v>
      </c>
      <c r="J29" s="21" t="s">
        <v>35</v>
      </c>
      <c r="K29" s="20">
        <v>1</v>
      </c>
      <c r="L29" s="64">
        <v>6</v>
      </c>
      <c r="M29" s="32">
        <f t="shared" si="3"/>
        <v>5</v>
      </c>
      <c r="N29" s="55" t="s">
        <v>29</v>
      </c>
      <c r="O29" s="47">
        <v>3.1053000000000002</v>
      </c>
      <c r="P29" s="47">
        <f t="shared" si="9"/>
        <v>3.1053000000000002</v>
      </c>
      <c r="Q29" s="47">
        <f t="shared" si="10"/>
        <v>18.631800000000002</v>
      </c>
      <c r="R29" s="86">
        <v>3.1053000000000002</v>
      </c>
      <c r="S29" s="47">
        <f t="shared" si="11"/>
        <v>15.5265</v>
      </c>
      <c r="T29" s="87"/>
    </row>
    <row r="30" spans="1:20" ht="15" customHeight="1" thickBot="1">
      <c r="A30" s="7">
        <v>7</v>
      </c>
      <c r="B30" s="118"/>
      <c r="C30" s="18" t="s">
        <v>61</v>
      </c>
      <c r="D30" s="20" t="s">
        <v>172</v>
      </c>
      <c r="E30" s="95" t="s">
        <v>62</v>
      </c>
      <c r="F30" s="95" t="s">
        <v>63</v>
      </c>
      <c r="G30" s="21" t="s">
        <v>54</v>
      </c>
      <c r="H30" s="22" t="s">
        <v>64</v>
      </c>
      <c r="I30" s="32" t="s">
        <v>35</v>
      </c>
      <c r="J30" s="21" t="s">
        <v>35</v>
      </c>
      <c r="K30" s="21">
        <v>1</v>
      </c>
      <c r="L30" s="44">
        <v>10</v>
      </c>
      <c r="M30" s="32">
        <f>K30*5</f>
        <v>5</v>
      </c>
      <c r="N30" s="55" t="s">
        <v>29</v>
      </c>
      <c r="O30" s="46">
        <v>9.8400000000000001E-2</v>
      </c>
      <c r="P30" s="47">
        <f>O30*K30</f>
        <v>9.8400000000000001E-2</v>
      </c>
      <c r="Q30" s="47">
        <f>O30*L30</f>
        <v>0.98399999999999999</v>
      </c>
      <c r="R30" s="46">
        <v>9.8400000000000001E-2</v>
      </c>
      <c r="S30" s="47">
        <f>R30*M30</f>
        <v>0.49199999999999999</v>
      </c>
      <c r="T30" s="73"/>
    </row>
    <row r="31" spans="1:20" ht="15.75" customHeight="1" thickBot="1">
      <c r="A31" s="7">
        <v>24</v>
      </c>
      <c r="B31" s="119" t="s">
        <v>158</v>
      </c>
      <c r="C31" s="99" t="s">
        <v>159</v>
      </c>
      <c r="D31" s="90" t="s">
        <v>160</v>
      </c>
      <c r="E31" s="26" t="s">
        <v>76</v>
      </c>
      <c r="F31" s="90" t="s">
        <v>161</v>
      </c>
      <c r="G31" s="10" t="s">
        <v>162</v>
      </c>
      <c r="H31" s="11" t="s">
        <v>163</v>
      </c>
      <c r="I31" s="36" t="s">
        <v>35</v>
      </c>
      <c r="J31" s="10" t="s">
        <v>35</v>
      </c>
      <c r="K31" s="9">
        <v>1</v>
      </c>
      <c r="L31" s="65">
        <v>7</v>
      </c>
      <c r="M31" s="36">
        <f t="shared" si="3"/>
        <v>5</v>
      </c>
      <c r="N31" s="37" t="s">
        <v>29</v>
      </c>
      <c r="O31" s="39">
        <v>0.22420000000000001</v>
      </c>
      <c r="P31" s="39">
        <f t="shared" si="9"/>
        <v>0.22420000000000001</v>
      </c>
      <c r="Q31" s="39">
        <f t="shared" si="10"/>
        <v>1.5694000000000001</v>
      </c>
      <c r="R31" s="39">
        <v>0.22420000000000001</v>
      </c>
      <c r="S31" s="39">
        <f t="shared" si="11"/>
        <v>1.121</v>
      </c>
      <c r="T31" s="84"/>
    </row>
    <row r="32" spans="1:20" ht="15" customHeight="1" thickBot="1">
      <c r="A32" s="7">
        <v>26</v>
      </c>
      <c r="B32" s="120"/>
      <c r="C32" s="91" t="s">
        <v>164</v>
      </c>
      <c r="D32" s="104" t="s">
        <v>165</v>
      </c>
      <c r="E32" s="104" t="s">
        <v>166</v>
      </c>
      <c r="F32" s="104" t="s">
        <v>166</v>
      </c>
      <c r="G32" s="16" t="s">
        <v>35</v>
      </c>
      <c r="H32" s="27" t="s">
        <v>35</v>
      </c>
      <c r="I32" s="27" t="s">
        <v>35</v>
      </c>
      <c r="J32" s="16" t="s">
        <v>35</v>
      </c>
      <c r="K32" s="14">
        <v>1</v>
      </c>
      <c r="L32" s="27" t="s">
        <v>35</v>
      </c>
      <c r="M32" s="27">
        <f t="shared" si="3"/>
        <v>5</v>
      </c>
      <c r="N32" s="27" t="s">
        <v>35</v>
      </c>
      <c r="O32" s="27" t="s">
        <v>35</v>
      </c>
      <c r="P32" s="27" t="s">
        <v>35</v>
      </c>
      <c r="Q32" s="27" t="s">
        <v>35</v>
      </c>
      <c r="R32" s="27" t="s">
        <v>35</v>
      </c>
      <c r="S32" s="27" t="s">
        <v>35</v>
      </c>
      <c r="T32" s="85"/>
    </row>
    <row r="33" spans="1:20" ht="15" customHeight="1" thickBot="1">
      <c r="A33" s="7">
        <v>27</v>
      </c>
      <c r="B33" s="121"/>
      <c r="C33" s="105" t="s">
        <v>167</v>
      </c>
      <c r="D33" s="95" t="s">
        <v>168</v>
      </c>
      <c r="E33" s="20" t="s">
        <v>76</v>
      </c>
      <c r="F33" s="95" t="s">
        <v>169</v>
      </c>
      <c r="G33" s="21" t="s">
        <v>35</v>
      </c>
      <c r="H33" s="32" t="s">
        <v>35</v>
      </c>
      <c r="I33" s="32" t="s">
        <v>35</v>
      </c>
      <c r="J33" s="21" t="s">
        <v>35</v>
      </c>
      <c r="K33" s="19">
        <v>5</v>
      </c>
      <c r="L33" s="32" t="s">
        <v>35</v>
      </c>
      <c r="M33" s="32">
        <f t="shared" si="3"/>
        <v>25</v>
      </c>
      <c r="N33" s="32" t="s">
        <v>35</v>
      </c>
      <c r="O33" s="32" t="s">
        <v>35</v>
      </c>
      <c r="P33" s="32" t="s">
        <v>35</v>
      </c>
      <c r="Q33" s="32" t="s">
        <v>35</v>
      </c>
      <c r="R33" s="32" t="s">
        <v>35</v>
      </c>
      <c r="S33" s="32" t="s">
        <v>35</v>
      </c>
      <c r="T33" s="87"/>
    </row>
    <row r="34" spans="1:20" ht="19.5" thickBot="1">
      <c r="K34" s="111" t="s">
        <v>170</v>
      </c>
      <c r="L34" s="111"/>
      <c r="M34" s="111"/>
      <c r="N34" s="111"/>
      <c r="O34" s="66">
        <f>SUM(O3:O33)</f>
        <v>12.146099999999999</v>
      </c>
      <c r="P34" s="67"/>
      <c r="Q34" s="66">
        <f>SUM(Q3:Q33)</f>
        <v>80.759</v>
      </c>
    </row>
    <row r="35" spans="1:20" ht="18.75">
      <c r="K35" s="112" t="s">
        <v>171</v>
      </c>
      <c r="L35" s="112"/>
      <c r="M35" s="112"/>
      <c r="N35" s="112"/>
      <c r="O35" s="68">
        <f>SUM(O33:O34)</f>
        <v>12.146099999999999</v>
      </c>
      <c r="P35" s="67"/>
      <c r="Q35" s="68">
        <f>Q34/5</f>
        <v>16.151800000000001</v>
      </c>
    </row>
  </sheetData>
  <mergeCells count="6">
    <mergeCell ref="A1:R1"/>
    <mergeCell ref="K34:N34"/>
    <mergeCell ref="K35:N35"/>
    <mergeCell ref="B14:B23"/>
    <mergeCell ref="B26:B29"/>
    <mergeCell ref="B3:B6"/>
  </mergeCells>
  <conditionalFormatting sqref="P6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{17EAD634-21F4-47F8-9CAF-3E33964EEF6A}</x14:id>
        </ext>
      </extLst>
    </cfRule>
  </conditionalFormatting>
  <conditionalFormatting sqref="S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{E82D952D-E01F-4B1E-88A2-B8F49A93F47D}</x14:id>
        </ext>
      </extLst>
    </cfRule>
  </conditionalFormatting>
  <conditionalFormatting sqref="P7:P1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{22C13D5C-4BF4-4B37-90E4-EBE21692E9FE}</x14:id>
        </ext>
      </extLst>
    </cfRule>
  </conditionalFormatting>
  <conditionalFormatting sqref="S7:S1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{0B329CA3-E34E-4AAB-A503-7FD611DB2F97}</x14:id>
        </ext>
      </extLst>
    </cfRule>
  </conditionalFormatting>
  <conditionalFormatting sqref="P2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{6A42876F-F14C-4636-B38B-E24C555D0C5A}</x14:id>
        </ext>
      </extLst>
    </cfRule>
  </conditionalFormatting>
  <conditionalFormatting sqref="S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{158646A7-FB27-493B-A7FF-54D604BAD301}</x14:id>
        </ext>
      </extLst>
    </cfRule>
  </conditionalFormatting>
  <conditionalFormatting sqref="P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{1136FB38-D2F8-4EA9-A367-22B6430B29D9}</x14:id>
        </ext>
      </extLst>
    </cfRule>
  </conditionalFormatting>
  <conditionalFormatting sqref="S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{D4A5CF13-CF84-4591-9FCC-49FF52F9F1C4}</x14:id>
        </ext>
      </extLst>
    </cfRule>
  </conditionalFormatting>
  <conditionalFormatting sqref="O3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{235FEB0C-EE6B-4A59-BD6E-7A0589E24A48}</x14:id>
        </ext>
      </extLst>
    </cfRule>
  </conditionalFormatting>
  <conditionalFormatting sqref="Q3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{682ECF16-2AC7-45C0-ACDE-784824B45411}</x14:id>
        </ext>
      </extLst>
    </cfRule>
  </conditionalFormatting>
  <conditionalFormatting sqref="P3:P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{A5ED5B40-261C-4D63-8171-03DE1591B7D6}</x14:id>
        </ext>
      </extLst>
    </cfRule>
  </conditionalFormatting>
  <conditionalFormatting sqref="P14:P15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{C4F90B74-B997-4150-B66D-3E2B67E9D539}</x14:id>
        </ext>
      </extLst>
    </cfRule>
  </conditionalFormatting>
  <conditionalFormatting sqref="P16:P2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{9858B0C3-D0F8-40AB-A4EB-B7FA3CD44C37}</x14:id>
        </ext>
      </extLst>
    </cfRule>
  </conditionalFormatting>
  <conditionalFormatting sqref="P27:P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{AA3267BB-7DF4-4184-A49B-E7450B91D10B}</x14:id>
        </ext>
      </extLst>
    </cfRule>
  </conditionalFormatting>
  <conditionalFormatting sqref="S3:S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{5D986308-F274-4102-BE29-1D0CF74D077B}</x14:id>
        </ext>
      </extLst>
    </cfRule>
  </conditionalFormatting>
  <conditionalFormatting sqref="S14:S1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{6E2E58F7-FE6A-4762-93A9-566CA5CDF7EC}</x14:id>
        </ext>
      </extLst>
    </cfRule>
  </conditionalFormatting>
  <conditionalFormatting sqref="S16:S2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{FF02F8A1-A0AB-48BA-BC5D-837B4F090483}</x14:id>
        </ext>
      </extLst>
    </cfRule>
  </conditionalFormatting>
  <conditionalFormatting sqref="S27:S2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{A4531ED6-7A23-45F2-BE31-301BD5EA9251}</x14:id>
        </ext>
      </extLst>
    </cfRule>
  </conditionalFormatting>
  <conditionalFormatting sqref="T15:T16 T18">
    <cfRule type="dataBar" priority="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{08CE510F-E31E-46C1-B283-C5A0291B5E7C}</x14:id>
        </ext>
      </extLst>
    </cfRule>
  </conditionalFormatting>
  <conditionalFormatting sqref="P12:P13 P30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{9387EE67-D922-4EDD-9DA9-92A432BDB36F}</x14:id>
        </ext>
      </extLst>
    </cfRule>
  </conditionalFormatting>
  <conditionalFormatting sqref="S12:S13 S30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{85D471B6-7BA0-466D-8A61-5132FF9B9E71}</x14:id>
        </ext>
      </extLst>
    </cfRule>
  </conditionalFormatting>
  <conditionalFormatting sqref="M3:M33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1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{BFAB5B23-2BBB-4D00-9329-1FC3154F45B1}</x14:id>
        </ext>
      </extLst>
    </cfRule>
  </conditionalFormatting>
  <conditionalFormatting sqref="S3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{DD42D827-22D9-4A2D-8948-02763CAC3774}</x14:id>
        </ext>
      </extLst>
    </cfRule>
  </conditionalFormatting>
  <hyperlinks>
    <hyperlink ref="N6" r:id="rId1"/>
    <hyperlink ref="N7" r:id="rId2"/>
    <hyperlink ref="N12" r:id="rId3"/>
    <hyperlink ref="N14" r:id="rId4"/>
    <hyperlink ref="N16" r:id="rId5"/>
    <hyperlink ref="N18" r:id="rId6"/>
    <hyperlink ref="N17" r:id="rId7"/>
    <hyperlink ref="N25" r:id="rId8"/>
    <hyperlink ref="N26" r:id="rId9"/>
    <hyperlink ref="N27" r:id="rId10"/>
    <hyperlink ref="N28" r:id="rId11"/>
    <hyperlink ref="N31" r:id="rId12"/>
    <hyperlink ref="N3" r:id="rId13"/>
    <hyperlink ref="N5" r:id="rId14"/>
    <hyperlink ref="N13" r:id="rId15"/>
    <hyperlink ref="N30" r:id="rId16"/>
    <hyperlink ref="N21" r:id="rId17"/>
    <hyperlink ref="N23" r:id="rId18"/>
    <hyperlink ref="N19" r:id="rId19"/>
    <hyperlink ref="N20" r:id="rId20"/>
    <hyperlink ref="N22" r:id="rId21"/>
    <hyperlink ref="N29" r:id="rId22"/>
  </hyperlink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EAD634-21F4-47F8-9CAF-3E33964EE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P6</xm:sqref>
        </x14:conditionalFormatting>
        <x14:conditionalFormatting xmlns:xm="http://schemas.microsoft.com/office/excel/2006/main">
          <x14:cfRule type="dataBar" id="{E82D952D-E01F-4B1E-88A2-B8F49A93F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22C13D5C-4BF4-4B37-90E4-EBE21692E9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P7:P11</xm:sqref>
        </x14:conditionalFormatting>
        <x14:conditionalFormatting xmlns:xm="http://schemas.microsoft.com/office/excel/2006/main">
          <x14:cfRule type="dataBar" id="{0B329CA3-E34E-4AAB-A503-7FD611DB2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S7:S11</xm:sqref>
        </x14:conditionalFormatting>
        <x14:conditionalFormatting xmlns:xm="http://schemas.microsoft.com/office/excel/2006/main">
          <x14:cfRule type="dataBar" id="{6A42876F-F14C-4636-B38B-E24C555D0C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158646A7-FB27-493B-A7FF-54D604BAD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S25</xm:sqref>
        </x14:conditionalFormatting>
        <x14:conditionalFormatting xmlns:xm="http://schemas.microsoft.com/office/excel/2006/main">
          <x14:cfRule type="dataBar" id="{1136FB38-D2F8-4EA9-A367-22B6430B29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P26</xm:sqref>
        </x14:conditionalFormatting>
        <x14:conditionalFormatting xmlns:xm="http://schemas.microsoft.com/office/excel/2006/main">
          <x14:cfRule type="dataBar" id="{D4A5CF13-CF84-4591-9FCC-49FF52F9F1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S26</xm:sqref>
        </x14:conditionalFormatting>
        <x14:conditionalFormatting xmlns:xm="http://schemas.microsoft.com/office/excel/2006/main">
          <x14:cfRule type="dataBar" id="{235FEB0C-EE6B-4A59-BD6E-7A0589E24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682ECF16-2AC7-45C0-ACDE-784824B45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A5ED5B40-261C-4D63-8171-03DE1591B7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C4F90B74-B997-4150-B66D-3E2B67E9D5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P14:P15</xm:sqref>
        </x14:conditionalFormatting>
        <x14:conditionalFormatting xmlns:xm="http://schemas.microsoft.com/office/excel/2006/main">
          <x14:cfRule type="dataBar" id="{9858B0C3-D0F8-40AB-A4EB-B7FA3CD44C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P16:P24</xm:sqref>
        </x14:conditionalFormatting>
        <x14:conditionalFormatting xmlns:xm="http://schemas.microsoft.com/office/excel/2006/main">
          <x14:cfRule type="dataBar" id="{AA3267BB-7DF4-4184-A49B-E7450B91D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P27:P29</xm:sqref>
        </x14:conditionalFormatting>
        <x14:conditionalFormatting xmlns:xm="http://schemas.microsoft.com/office/excel/2006/main">
          <x14:cfRule type="dataBar" id="{5D986308-F274-4102-BE29-1D0CF74D0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S3:S5</xm:sqref>
        </x14:conditionalFormatting>
        <x14:conditionalFormatting xmlns:xm="http://schemas.microsoft.com/office/excel/2006/main">
          <x14:cfRule type="dataBar" id="{6E2E58F7-FE6A-4762-93A9-566CA5CDF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S14:S15</xm:sqref>
        </x14:conditionalFormatting>
        <x14:conditionalFormatting xmlns:xm="http://schemas.microsoft.com/office/excel/2006/main">
          <x14:cfRule type="dataBar" id="{FF02F8A1-A0AB-48BA-BC5D-837B4F090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S16:S24</xm:sqref>
        </x14:conditionalFormatting>
        <x14:conditionalFormatting xmlns:xm="http://schemas.microsoft.com/office/excel/2006/main">
          <x14:cfRule type="dataBar" id="{A4531ED6-7A23-45F2-BE31-301BD5EA92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S27:S29</xm:sqref>
        </x14:conditionalFormatting>
        <x14:conditionalFormatting xmlns:xm="http://schemas.microsoft.com/office/excel/2006/main">
          <x14:cfRule type="dataBar" id="{08CE510F-E31E-46C1-B283-C5A0291B5E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T15:T16 T18</xm:sqref>
        </x14:conditionalFormatting>
        <x14:conditionalFormatting xmlns:xm="http://schemas.microsoft.com/office/excel/2006/main">
          <x14:cfRule type="dataBar" id="{9387EE67-D922-4EDD-9DA9-92A432BDB3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P12:P13 P30</xm:sqref>
        </x14:conditionalFormatting>
        <x14:conditionalFormatting xmlns:xm="http://schemas.microsoft.com/office/excel/2006/main">
          <x14:cfRule type="dataBar" id="{85D471B6-7BA0-466D-8A61-5132FF9B9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S12:S13 S30</xm:sqref>
        </x14:conditionalFormatting>
        <x14:conditionalFormatting xmlns:xm="http://schemas.microsoft.com/office/excel/2006/main">
          <x14:cfRule type="dataBar" id="{BFAB5B23-2BBB-4D00-9329-1FC3154F45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P31</xm:sqref>
        </x14:conditionalFormatting>
        <x14:conditionalFormatting xmlns:xm="http://schemas.microsoft.com/office/excel/2006/main">
          <x14:cfRule type="dataBar" id="{DD42D827-22D9-4A2D-8948-02763CAC3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2021-03-12T10:24:00Z</dcterms:created>
  <dcterms:modified xsi:type="dcterms:W3CDTF">2021-10-11T15:55:01Z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B13D033B18734AEEBFFA9A1F630D5B19</vt:lpwstr>
  </property>
  <property fmtid="{D5CDD505-2E9C-101B-9397-08002B2CF9AE}" pid="3" name="KSOProductBuildVer">
    <vt:lpwstr>1033-11.2.0.10265</vt:lpwstr>
  </property>
</Properties>
</file>