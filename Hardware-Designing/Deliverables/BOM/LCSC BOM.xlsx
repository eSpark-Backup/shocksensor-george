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<sst xmlns="http://schemas.openxmlformats.org/spreadsheetml/2006/main" count="286" uniqueCount="180">
  <si>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</si>
  <si>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</si>
  <si>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</si>
  <si>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</si>
  <si>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</si>
  <si>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</si>
  <si>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</si>
  <si>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</si>
  <si>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</si>
  <si>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</si>
  <si>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</si>
  <si>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</si>
  <si>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</si>
  <si>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</si>
  <si>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</si>
  <si>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</si>
  <si>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</si>
  <si>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</si>
  <si>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</si>
  <si>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</si>
  <si>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</si>
  <si>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</si>
  <si>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</si>
  <si>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C1, C2, C3, C4, C11, C13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</si>
  <si>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</si>
  <si>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</si>
  <si>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</si>
  <si>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</si>
  <si>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</si>
  <si>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</si>
  <si>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</si>
  <si>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</si>
  <si>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</si>
  <si>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</si>
  <si>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</si>
  <si>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</si>
  <si>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</si>
  <si>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</si>
  <si>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</si>
  <si>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</si>
  <si>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</si>
  <si>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</si>
  <si>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</si>
  <si>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</si>
  <si>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</si>
  <si>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D1, D2, D3, D4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</si>
  <si>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</si>
  <si>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</si>
  <si>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</si>
  <si>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</si>
  <si>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</si>
  <si>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</si>
  <si>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</si>
  <si>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</si>
  <si>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</si>
  <si>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</si>
  <si>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</si>
  <si>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</si>
  <si>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</si>
  <si>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</si>
  <si>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</si>
  <si>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</si>
  <si>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</si>
  <si>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</si>
  <si>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Q4</t>
  </si>
  <si>
    <t>SOT-363</t>
  </si>
  <si>
    <t>BSS8402DW-7-F</t>
  </si>
  <si>
    <t xml:space="preserve">C156386
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</si>
  <si>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</si>
  <si>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</si>
  <si>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</si>
  <si>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</si>
  <si>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</si>
  <si>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</si>
  <si>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</si>
  <si>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</si>
  <si>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</si>
  <si>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</si>
  <si>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</si>
  <si>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</si>
  <si>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</si>
  <si>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</si>
  <si>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</si>
  <si>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</si>
  <si>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</si>
  <si>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</si>
  <si>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</si>
  <si>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</si>
  <si>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</si>
  <si>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</si>
  <si>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</si>
  <si>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</si>
  <si>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</si>
  <si>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</si>
  <si>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</si>
  <si>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</si>
  <si>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</si>
  <si>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</si>
  <si>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</si>
  <si>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</si>
  <si>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</si>
  <si>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</si>
  <si>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</si>
  <si>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</si>
  <si>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</si>
  <si>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</si>
  <si>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</si>
  <si>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</si>
  <si>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</si>
  <si>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</si>
  <si>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</si>
  <si>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</si>
  <si>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</si>
  <si>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</si>
  <si>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</si>
  <si>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</si>
  <si>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>45.K</t>
  </si>
  <si>
    <t>RES SMD 0 OHM JUMPER 1/10W 0603</t>
  </si>
  <si>
    <t>R21</t>
  </si>
  <si>
    <t>RC0603JR-070RP</t>
  </si>
  <si>
    <t xml:space="preserve">C100699
</t>
  </si>
  <si>
    <t>0R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</si>
  <si>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</si>
  <si>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</si>
  <si>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</si>
  <si>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</si>
  <si>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</si>
  <si>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</si>
  <si>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</si>
  <si>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</si>
  <si>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</si>
  <si>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</si>
  <si>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</si>
  <si>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</si>
  <si>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</si>
  <si>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</si>
  <si>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</si>
  <si>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</si>
  <si>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RX TXRX MOD WIFI TRACE ANT SMD</t>
  </si>
  <si>
    <t>U1</t>
  </si>
  <si>
    <t>ESP32-WROOM-32D (8MB)</t>
  </si>
  <si>
    <t xml:space="preserve">Espressif Systems
</t>
  </si>
  <si>
    <t>C529577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</si>
  <si>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</si>
  <si>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</si>
  <si>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</si>
  <si>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</si>
  <si>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</si>
  <si>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</si>
  <si>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</si>
  <si>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</si>
  <si>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</si>
  <si>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</si>
  <si>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</si>
  <si>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</si>
  <si>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</si>
  <si>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</si>
  <si>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</si>
  <si>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</si>
  <si>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</si>
  <si>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</si>
  <si>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</si>
  <si>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</si>
  <si>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</si>
  <si>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</si>
  <si>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</si>
  <si>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</si>
  <si>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 xml:space="preserve">CONN HEADER VERT 2POS 2.5MM
</t>
  </si>
  <si>
    <t>J2</t>
  </si>
  <si>
    <t>B2B-XH-A(LF)(SN)</t>
  </si>
  <si>
    <t xml:space="preserve">JST Sales America
</t>
  </si>
  <si>
    <t>C158012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</si>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</sst>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&quot;$&quot;#,##0.00000"/>
    <numFmt numFmtId="179" formatCode="_-[$$-409]* #,##0.00_ ;_-[$$-409]* \-#,##0.00\ ;_-[$$-409]* &quot;-&quot;??_ ;_-@_ "/>
  </numFmts>
  <fonts count="33">
    <font>
      <sz val="11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</font>
    <font>
      <sz val="10"/>
      <color theme="1"/>
      <name val="Calibri"/>
      <charset val="134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</font>
    <font>
      <u/>
      <sz val="10"/>
      <color rgb="FF800080"/>
      <name val="Calibri"/>
      <charset val="134"/>
    </font>
    <font>
      <sz val="14"/>
      <name val="Calibri"/>
      <charset val="134"/>
      <scheme val="minor"/>
    </font>
    <font>
      <sz val="10"/>
      <color rgb="FFFF0000"/>
      <name val="Calibri"/>
      <charset val="134"/>
    </font>
    <font>
      <sz val="10"/>
      <name val="Calibri"/>
      <charset val="134"/>
    </font>
    <font>
      <u/>
      <sz val="10"/>
      <color theme="10"/>
      <name val="Arial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6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11" borderId="31" applyNumberFormat="0" applyAlignment="0" applyProtection="0">
      <alignment vertical="center"/>
    </xf>
    <xf numFmtId="0" fontId="21" fillId="0" borderId="32" applyNumberFormat="0" applyFill="0" applyAlignment="0" applyProtection="0">
      <alignment vertical="center"/>
    </xf>
    <xf numFmtId="0" fontId="0" fillId="13" borderId="33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7" fillId="0" borderId="3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10" borderId="3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31" fillId="24" borderId="0" applyNumberFormat="0" applyBorder="0" applyAlignment="0" applyProtection="0"/>
    <xf numFmtId="0" fontId="23" fillId="15" borderId="34" applyNumberFormat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29" fillId="15" borderId="30" applyNumberFormat="0" applyAlignment="0" applyProtection="0">
      <alignment vertical="center"/>
    </xf>
    <xf numFmtId="0" fontId="32" fillId="0" borderId="37" applyNumberFormat="0" applyFill="0" applyAlignment="0" applyProtection="0">
      <alignment vertical="center"/>
    </xf>
    <xf numFmtId="0" fontId="28" fillId="0" borderId="36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5" fillId="0" borderId="17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 wrapText="1"/>
    </xf>
    <xf numFmtId="0" fontId="5" fillId="0" borderId="9" xfId="0" applyFont="1" applyFill="1" applyBorder="1" applyAlignment="1">
      <alignment horizontal="center" vertical="center" wrapText="1"/>
    </xf>
    <xf numFmtId="0" fontId="5" fillId="0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0" borderId="18" xfId="0" applyFont="1" applyFill="1" applyBorder="1" applyAlignment="1">
      <alignment vertical="center" wrapText="1"/>
    </xf>
    <xf numFmtId="0" fontId="5" fillId="0" borderId="19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5" fillId="0" borderId="14" xfId="0" applyFont="1" applyFill="1" applyBorder="1" applyAlignment="1">
      <alignment vertical="center" wrapText="1"/>
    </xf>
    <xf numFmtId="0" fontId="7" fillId="3" borderId="1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9" fillId="3" borderId="9" xfId="7" applyFont="1" applyFill="1" applyBorder="1" applyAlignment="1" applyProtection="1">
      <alignment horizontal="center" vertical="center"/>
    </xf>
    <xf numFmtId="178" fontId="6" fillId="3" borderId="9" xfId="0" applyNumberFormat="1" applyFont="1" applyFill="1" applyBorder="1" applyAlignment="1">
      <alignment horizontal="center" vertical="center"/>
    </xf>
    <xf numFmtId="178" fontId="7" fillId="3" borderId="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9" fillId="3" borderId="12" xfId="7" applyFont="1" applyFill="1" applyBorder="1" applyAlignment="1" applyProtection="1">
      <alignment horizontal="center" vertical="center"/>
    </xf>
    <xf numFmtId="178" fontId="6" fillId="3" borderId="12" xfId="0" applyNumberFormat="1" applyFont="1" applyFill="1" applyBorder="1" applyAlignment="1">
      <alignment horizontal="center" vertical="center"/>
    </xf>
    <xf numFmtId="178" fontId="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0" fillId="3" borderId="15" xfId="7" applyFont="1" applyFill="1" applyBorder="1" applyAlignment="1" applyProtection="1">
      <alignment horizontal="center" vertical="center"/>
    </xf>
    <xf numFmtId="178" fontId="6" fillId="3" borderId="15" xfId="0" applyNumberFormat="1" applyFont="1" applyFill="1" applyBorder="1" applyAlignment="1">
      <alignment horizontal="center" vertical="center"/>
    </xf>
    <xf numFmtId="178" fontId="7" fillId="3" borderId="15" xfId="0" applyNumberFormat="1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0" fillId="3" borderId="17" xfId="7" applyFont="1" applyFill="1" applyBorder="1" applyAlignment="1" applyProtection="1">
      <alignment horizontal="center" vertical="center"/>
    </xf>
    <xf numFmtId="178" fontId="6" fillId="3" borderId="17" xfId="0" applyNumberFormat="1" applyFont="1" applyFill="1" applyBorder="1" applyAlignment="1">
      <alignment horizontal="center" vertical="center"/>
    </xf>
    <xf numFmtId="178" fontId="7" fillId="3" borderId="17" xfId="0" applyNumberFormat="1" applyFont="1" applyFill="1" applyBorder="1" applyAlignment="1">
      <alignment horizontal="center" vertical="center"/>
    </xf>
    <xf numFmtId="0" fontId="10" fillId="3" borderId="9" xfId="7" applyFont="1" applyFill="1" applyBorder="1" applyAlignment="1" applyProtection="1">
      <alignment horizontal="center" vertical="center"/>
    </xf>
    <xf numFmtId="0" fontId="10" fillId="3" borderId="12" xfId="7" applyFont="1" applyFill="1" applyBorder="1" applyAlignment="1" applyProtection="1">
      <alignment horizontal="center" vertical="center"/>
    </xf>
    <xf numFmtId="0" fontId="9" fillId="3" borderId="15" xfId="7" applyFont="1" applyFill="1" applyBorder="1" applyAlignment="1" applyProtection="1">
      <alignment horizontal="center" vertical="center"/>
    </xf>
    <xf numFmtId="0" fontId="7" fillId="0" borderId="12" xfId="0" applyFont="1" applyBorder="1" applyAlignment="1">
      <alignment horizontal="center"/>
    </xf>
    <xf numFmtId="0" fontId="9" fillId="3" borderId="17" xfId="7" applyFont="1" applyFill="1" applyBorder="1" applyAlignment="1" applyProtection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9" fillId="3" borderId="19" xfId="7" applyFont="1" applyFill="1" applyBorder="1" applyAlignment="1" applyProtection="1">
      <alignment horizontal="center" vertical="center"/>
    </xf>
    <xf numFmtId="178" fontId="6" fillId="3" borderId="19" xfId="0" applyNumberFormat="1" applyFont="1" applyFill="1" applyBorder="1" applyAlignment="1">
      <alignment horizontal="center" vertical="center"/>
    </xf>
    <xf numFmtId="178" fontId="7" fillId="3" borderId="19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11" fillId="3" borderId="21" xfId="0" applyFont="1" applyFill="1" applyBorder="1" applyAlignment="1">
      <alignment horizontal="center"/>
    </xf>
    <xf numFmtId="179" fontId="11" fillId="3" borderId="0" xfId="0" applyNumberFormat="1" applyFont="1" applyFill="1" applyAlignment="1"/>
    <xf numFmtId="179" fontId="11" fillId="3" borderId="0" xfId="0" applyNumberFormat="1" applyFont="1" applyFill="1" applyBorder="1" applyAlignment="1"/>
    <xf numFmtId="0" fontId="11" fillId="3" borderId="20" xfId="0" applyFont="1" applyFill="1" applyBorder="1" applyAlignment="1">
      <alignment horizontal="center"/>
    </xf>
    <xf numFmtId="179" fontId="11" fillId="3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78" fontId="6" fillId="3" borderId="25" xfId="0" applyNumberFormat="1" applyFont="1" applyFill="1" applyBorder="1" applyAlignment="1">
      <alignment vertical="center"/>
    </xf>
    <xf numFmtId="178" fontId="6" fillId="3" borderId="26" xfId="0" applyNumberFormat="1" applyFont="1" applyFill="1" applyBorder="1" applyAlignment="1">
      <alignment vertical="center"/>
    </xf>
    <xf numFmtId="178" fontId="6" fillId="3" borderId="27" xfId="0" applyNumberFormat="1" applyFont="1" applyFill="1" applyBorder="1" applyAlignment="1">
      <alignment vertical="center"/>
    </xf>
    <xf numFmtId="178" fontId="6" fillId="3" borderId="28" xfId="0" applyNumberFormat="1" applyFont="1" applyFill="1" applyBorder="1" applyAlignment="1">
      <alignment vertical="center"/>
    </xf>
    <xf numFmtId="178" fontId="7" fillId="3" borderId="26" xfId="0" applyNumberFormat="1" applyFont="1" applyFill="1" applyBorder="1" applyAlignment="1">
      <alignment vertical="center"/>
    </xf>
    <xf numFmtId="178" fontId="6" fillId="3" borderId="26" xfId="0" applyNumberFormat="1" applyFont="1" applyFill="1" applyBorder="1" applyAlignment="1">
      <alignment vertical="center" wrapText="1"/>
    </xf>
    <xf numFmtId="179" fontId="12" fillId="3" borderId="26" xfId="0" applyNumberFormat="1" applyFont="1" applyFill="1" applyBorder="1" applyAlignment="1">
      <alignment vertical="center"/>
    </xf>
    <xf numFmtId="179" fontId="13" fillId="3" borderId="26" xfId="0" applyNumberFormat="1" applyFont="1" applyFill="1" applyBorder="1" applyAlignment="1"/>
    <xf numFmtId="0" fontId="7" fillId="3" borderId="26" xfId="0" applyFont="1" applyFill="1" applyBorder="1" applyAlignment="1"/>
    <xf numFmtId="0" fontId="7" fillId="0" borderId="26" xfId="0" applyFont="1" applyBorder="1" applyAlignment="1"/>
    <xf numFmtId="0" fontId="7" fillId="0" borderId="27" xfId="0" applyFont="1" applyBorder="1" applyAlignment="1"/>
    <xf numFmtId="0" fontId="7" fillId="0" borderId="28" xfId="0" applyFont="1" applyBorder="1" applyAlignment="1"/>
    <xf numFmtId="0" fontId="7" fillId="0" borderId="29" xfId="0" applyFont="1" applyBorder="1" applyAlignment="1"/>
    <xf numFmtId="0" fontId="0" fillId="0" borderId="25" xfId="0" applyBorder="1"/>
    <xf numFmtId="0" fontId="0" fillId="0" borderId="26" xfId="0" applyBorder="1"/>
    <xf numFmtId="0" fontId="0" fillId="0" borderId="15" xfId="0" applyBorder="1" applyAlignment="1">
      <alignment horizontal="center"/>
    </xf>
    <xf numFmtId="0" fontId="0" fillId="0" borderId="27" xfId="0" applyBorder="1"/>
    <xf numFmtId="0" fontId="5" fillId="3" borderId="9" xfId="0" applyFont="1" applyFill="1" applyBorder="1" applyAlignment="1" quotePrefix="1">
      <alignment horizontal="center" vertical="center" wrapText="1"/>
    </xf>
    <xf numFmtId="0" fontId="5" fillId="0" borderId="9" xfId="0" applyFont="1" applyFill="1" applyBorder="1" applyAlignment="1" quotePrefix="1">
      <alignment horizontal="center" vertical="center"/>
    </xf>
    <xf numFmtId="0" fontId="5" fillId="0" borderId="9" xfId="0" applyFont="1" applyFill="1" applyBorder="1" applyAlignment="1" quotePrefix="1">
      <alignment horizontal="center" vertical="center" wrapText="1"/>
    </xf>
    <xf numFmtId="0" fontId="5" fillId="0" borderId="11" xfId="0" applyFont="1" applyFill="1" applyBorder="1" applyAlignment="1" quotePrefix="1">
      <alignment vertical="center"/>
    </xf>
    <xf numFmtId="0" fontId="5" fillId="3" borderId="12" xfId="0" applyFont="1" applyFill="1" applyBorder="1" applyAlignment="1" quotePrefix="1">
      <alignment horizontal="center" vertical="center" wrapText="1"/>
    </xf>
    <xf numFmtId="0" fontId="5" fillId="0" borderId="12" xfId="0" applyFont="1" applyFill="1" applyBorder="1" applyAlignment="1" quotePrefix="1">
      <alignment horizontal="center" vertical="center" wrapText="1"/>
    </xf>
    <xf numFmtId="0" fontId="5" fillId="3" borderId="15" xfId="0" applyFont="1" applyFill="1" applyBorder="1" applyAlignment="1" quotePrefix="1">
      <alignment horizontal="center" vertical="center" wrapText="1"/>
    </xf>
    <xf numFmtId="0" fontId="5" fillId="0" borderId="15" xfId="0" applyFont="1" applyFill="1" applyBorder="1" applyAlignment="1" quotePrefix="1">
      <alignment horizontal="center" vertical="center" wrapText="1"/>
    </xf>
    <xf numFmtId="0" fontId="5" fillId="0" borderId="16" xfId="0" applyFont="1" applyFill="1" applyBorder="1" applyAlignment="1" quotePrefix="1">
      <alignment vertical="center" wrapText="1"/>
    </xf>
    <xf numFmtId="0" fontId="5" fillId="3" borderId="17" xfId="0" applyFont="1" applyFill="1" applyBorder="1" applyAlignment="1" quotePrefix="1">
      <alignment horizontal="center" vertical="center" wrapText="1"/>
    </xf>
    <xf numFmtId="0" fontId="5" fillId="0" borderId="17" xfId="0" applyFont="1" applyFill="1" applyBorder="1" applyAlignment="1" quotePrefix="1">
      <alignment horizontal="center" vertical="center" wrapText="1"/>
    </xf>
    <xf numFmtId="0" fontId="5" fillId="0" borderId="8" xfId="0" applyFont="1" applyFill="1" applyBorder="1" applyAlignment="1" quotePrefix="1">
      <alignment vertical="center" wrapText="1"/>
    </xf>
    <xf numFmtId="0" fontId="5" fillId="0" borderId="11" xfId="0" applyFont="1" applyFill="1" applyBorder="1" applyAlignment="1" quotePrefix="1">
      <alignment vertical="center" wrapText="1"/>
    </xf>
    <xf numFmtId="0" fontId="5" fillId="0" borderId="18" xfId="0" applyFont="1" applyFill="1" applyBorder="1" applyAlignment="1" quotePrefix="1">
      <alignment vertical="center" wrapText="1"/>
    </xf>
    <xf numFmtId="0" fontId="5" fillId="0" borderId="19" xfId="0" applyFont="1" applyFill="1" applyBorder="1" applyAlignment="1" quotePrefix="1">
      <alignment horizontal="center" vertical="center" wrapText="1"/>
    </xf>
    <xf numFmtId="0" fontId="5" fillId="0" borderId="14" xfId="0" applyFont="1" applyFill="1" applyBorder="1" applyAlignment="1" quotePrefix="1">
      <alignment vertical="center"/>
    </xf>
    <xf numFmtId="0" fontId="5" fillId="0" borderId="12" xfId="0" applyFont="1" applyFill="1" applyBorder="1" applyAlignment="1" quotePrefix="1">
      <alignment horizontal="center" vertical="center"/>
    </xf>
    <xf numFmtId="0" fontId="5" fillId="0" borderId="14" xfId="0" applyFont="1" applyFill="1" applyBorder="1" applyAlignment="1" quotePrefix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WiFi-Modules_Espressif-Systems-ESP32-WROOM-32D-8MB_C529577.html" TargetMode="External"/><Relationship Id="rId8" Type="http://schemas.openxmlformats.org/officeDocument/2006/relationships/hyperlink" Target="https://www.lcsc.com/product-detail/Tactile-Switches_Omron-Electronics-B3U-1000P_C231329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5" Type="http://schemas.openxmlformats.org/officeDocument/2006/relationships/hyperlink" Target="https://www.lcsc.com/product-detail/Chip-Resistor-Surface-Mount_YAGEO-RC0603FR-074K7L_C99782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3" Type="http://schemas.openxmlformats.org/officeDocument/2006/relationships/hyperlink" Target="https://www.lcsc.com/product-detail/MOSFETs_Diodes-Incorporated-2N7002T-7-F_C139445.html" TargetMode="External"/><Relationship Id="rId23" Type="http://schemas.openxmlformats.org/officeDocument/2006/relationships/hyperlink" Target="https://www.lcsc.com/product-detail/USB-ICs_SILICON-LABS-CP2102N-A02-GQFN24R_C969151.html" TargetMode="External"/><Relationship Id="rId22" Type="http://schemas.openxmlformats.org/officeDocument/2006/relationships/hyperlink" Target="https://www.lcsc.com/product-detail/Chip-span-style-background-color-ff0-Resistor-span-Surface-Mount_LIZ-Elec-CR0603FA0000G_C100699.html" TargetMode="External"/><Relationship Id="rId21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0" Type="http://schemas.openxmlformats.org/officeDocument/2006/relationships/hyperlink" Target="https://www.lcsc.com/product-detail/Chip-span-style-background-color-ff0-Resistor-span-Surface-Mount_RALEC-RTT03102JTP_C103209.html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9" Type="http://schemas.openxmlformats.org/officeDocument/2006/relationships/hyperlink" Target="https://www.lcsc.com/product-detail/Chip-Resistor-Surface-Mount_YAGEO-RC0603JR-07100KL_C100048.html" TargetMode="External"/><Relationship Id="rId18" Type="http://schemas.openxmlformats.org/officeDocument/2006/relationships/hyperlink" Target="https://www.lcsc.com/product-detail/Chip-Resistor-Surface-Mount_YAGEO-RC0603FR-0747K5L_C137715.html" TargetMode="External"/><Relationship Id="rId17" Type="http://schemas.openxmlformats.org/officeDocument/2006/relationships/hyperlink" Target="https://www.lcsc.com/product-detail/MOSFETs_Diodes-Incorporated-BSS8402DW-7-F_C156386.html" TargetMode="External"/><Relationship Id="rId16" Type="http://schemas.openxmlformats.org/officeDocument/2006/relationships/hyperlink" Target="https://www.lcsc.com/product-detail/Bipolar-Transistors-BJT_Diodes-Incorporated-MMBT2222A-7-F_C94515.html" TargetMode="External"/><Relationship Id="rId15" Type="http://schemas.openxmlformats.org/officeDocument/2006/relationships/hyperlink" Target="https://www.lcsc.com/product-detail/Multilayer-Ceramic-Capacitors-MLCC-SMD-SMT_Murata-Electronics-GRM188R61E475KE11D_C90057.html" TargetMode="External"/><Relationship Id="rId14" Type="http://schemas.openxmlformats.org/officeDocument/2006/relationships/hyperlink" Target="https://www.lcsc.com/product-detail/Multilayer-Ceramic-Capacitors-MLCC-SMD-SMT_TDK-CGA3E2X7R1H104KT0Y0N_C76711.html" TargetMode="External"/><Relationship Id="rId13" Type="http://schemas.openxmlformats.org/officeDocument/2006/relationships/hyperlink" Target="https://www.lcsc.com/product-detail/Wire-To-Board-Wire-To-Wire-Connector_JST-Sales-America-B2B-XH-A-LF-SN_C158012.html" TargetMode="External"/><Relationship Id="rId12" Type="http://schemas.openxmlformats.org/officeDocument/2006/relationships/hyperlink" Target="https://www.lcsc.com/product-detail/USB-Connectors_Amphenol-ICC-10118194-0001LF_C132563.html" TargetMode="External"/><Relationship Id="rId11" Type="http://schemas.openxmlformats.org/officeDocument/2006/relationships/hyperlink" Target="https://www.lcsc.com/product-detail/Linear-Voltage-Regulators-LDO_ON-Semiconductor-NCP692MN33T2G_C145519.html" TargetMode="External"/><Relationship Id="rId10" Type="http://schemas.openxmlformats.org/officeDocument/2006/relationships/hyperlink" Target="https://www.lcsc.com/product-detail/Comparators_STMicroelectronics-LM393ADT_C136033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"/>
  <sheetViews>
    <sheetView tabSelected="1" workbookViewId="0">
      <selection activeCell="C25" sqref="C25"/>
    </sheetView>
  </sheetViews>
  <sheetFormatPr defaultColWidth="9" defaultRowHeight="15"/>
  <cols>
    <col min="1" max="1" width="6.71428571428571" customWidth="1"/>
    <col min="2" max="2" width="13.4285714285714" customWidth="1"/>
    <col min="3" max="3" width="38.8571428571429" customWidth="1"/>
    <col min="4" max="4" width="16.7142857142857" customWidth="1"/>
    <col min="5" max="5" width="20.5714285714286" customWidth="1"/>
    <col min="6" max="6" width="28.4285714285714" customWidth="1"/>
    <col min="7" max="7" width="17.5714285714286" customWidth="1"/>
    <col min="8" max="8" width="14.7142857142857" customWidth="1"/>
    <col min="9" max="9" width="21.7142857142857" customWidth="1"/>
    <col min="11" max="11" width="21.8571428571429" customWidth="1"/>
    <col min="12" max="12" width="12.5714285714286" style="1" customWidth="1"/>
    <col min="13" max="13" width="11.4285714285714" customWidth="1"/>
    <col min="14" max="14" width="12.8571428571429" style="2" customWidth="1"/>
    <col min="15" max="15" width="12.4285714285714" style="2" customWidth="1"/>
    <col min="16" max="17" width="13.4285714285714" customWidth="1"/>
    <col min="18" max="18" width="20.5714285714286" style="2" customWidth="1"/>
    <col min="19" max="19" width="14" customWidth="1"/>
    <col min="20" max="20" width="24.7142857142857" customWidth="1"/>
  </cols>
  <sheetData>
    <row r="1" ht="16.5" spans="1:20">
      <c r="A1" s="3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86"/>
      <c r="R1" s="87"/>
      <c r="S1" s="4"/>
      <c r="T1" s="87"/>
    </row>
    <row r="2" ht="16.5" spans="1:20">
      <c r="A2" s="6" t="s">
        <v>1</v>
      </c>
      <c r="B2" s="7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48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88" t="s">
        <v>19</v>
      </c>
      <c r="T2" s="8" t="s">
        <v>20</v>
      </c>
    </row>
    <row r="3" ht="26.25" spans="1:20">
      <c r="A3" s="9">
        <v>1</v>
      </c>
      <c r="B3" s="10" t="s">
        <v>21</v>
      </c>
      <c r="C3" s="11" t="s">
        <v>22</v>
      </c>
      <c r="D3" s="106" t="s">
        <v>23</v>
      </c>
      <c r="E3" s="107" t="s">
        <v>24</v>
      </c>
      <c r="F3" s="107" t="s">
        <v>25</v>
      </c>
      <c r="G3" s="14" t="s">
        <v>26</v>
      </c>
      <c r="H3" s="15" t="s">
        <v>27</v>
      </c>
      <c r="I3" s="49" t="s">
        <v>28</v>
      </c>
      <c r="J3" s="108" t="s">
        <v>29</v>
      </c>
      <c r="K3" s="14">
        <v>6</v>
      </c>
      <c r="L3" s="50">
        <v>50</v>
      </c>
      <c r="M3" s="51">
        <f>K3*5</f>
        <v>30</v>
      </c>
      <c r="N3" s="52" t="s">
        <v>30</v>
      </c>
      <c r="O3" s="53">
        <v>0.0094</v>
      </c>
      <c r="P3" s="54">
        <f t="shared" ref="P3:P9" si="0">O3*K3</f>
        <v>0.0564</v>
      </c>
      <c r="Q3" s="54">
        <f t="shared" ref="Q3:Q9" si="1">O3*L3</f>
        <v>0.47</v>
      </c>
      <c r="R3" s="53">
        <v>0.0094</v>
      </c>
      <c r="S3" s="54">
        <f t="shared" ref="S3:S9" si="2">R3*M3</f>
        <v>0.282</v>
      </c>
      <c r="T3" s="89"/>
    </row>
    <row r="4" ht="15.75" spans="1:20">
      <c r="A4" s="9">
        <v>2</v>
      </c>
      <c r="B4" s="16"/>
      <c r="C4" s="109" t="s">
        <v>31</v>
      </c>
      <c r="D4" s="110" t="s">
        <v>32</v>
      </c>
      <c r="E4" s="111" t="s">
        <v>24</v>
      </c>
      <c r="F4" s="111" t="s">
        <v>33</v>
      </c>
      <c r="G4" s="20" t="s">
        <v>34</v>
      </c>
      <c r="H4" s="21" t="s">
        <v>35</v>
      </c>
      <c r="I4" s="36" t="s">
        <v>36</v>
      </c>
      <c r="J4" s="19" t="s">
        <v>37</v>
      </c>
      <c r="K4" s="20">
        <v>2</v>
      </c>
      <c r="L4" s="55">
        <v>20</v>
      </c>
      <c r="M4" s="36">
        <f t="shared" ref="M4:M29" si="3">K4*5</f>
        <v>10</v>
      </c>
      <c r="N4" s="56" t="s">
        <v>30</v>
      </c>
      <c r="O4" s="57">
        <v>0.0576</v>
      </c>
      <c r="P4" s="58">
        <f t="shared" si="0"/>
        <v>0.1152</v>
      </c>
      <c r="Q4" s="58">
        <f t="shared" si="1"/>
        <v>1.152</v>
      </c>
      <c r="R4" s="57">
        <v>0.0576</v>
      </c>
      <c r="S4" s="58">
        <f t="shared" si="2"/>
        <v>0.576</v>
      </c>
      <c r="T4" s="90"/>
    </row>
    <row r="5" ht="15.75" spans="1:20">
      <c r="A5" s="9">
        <v>3</v>
      </c>
      <c r="B5" s="22"/>
      <c r="C5" s="23" t="s">
        <v>38</v>
      </c>
      <c r="D5" s="112" t="s">
        <v>39</v>
      </c>
      <c r="E5" s="113" t="s">
        <v>24</v>
      </c>
      <c r="F5" s="113" t="s">
        <v>40</v>
      </c>
      <c r="G5" s="26" t="s">
        <v>26</v>
      </c>
      <c r="H5" s="27" t="s">
        <v>41</v>
      </c>
      <c r="I5" s="47" t="s">
        <v>36</v>
      </c>
      <c r="J5" s="113" t="s">
        <v>42</v>
      </c>
      <c r="K5" s="26">
        <v>2</v>
      </c>
      <c r="L5" s="59">
        <v>50</v>
      </c>
      <c r="M5" s="47">
        <f t="shared" si="3"/>
        <v>10</v>
      </c>
      <c r="N5" s="60" t="s">
        <v>30</v>
      </c>
      <c r="O5" s="61">
        <v>0.0051</v>
      </c>
      <c r="P5" s="62">
        <f t="shared" si="0"/>
        <v>0.0102</v>
      </c>
      <c r="Q5" s="62">
        <f t="shared" si="1"/>
        <v>0.255</v>
      </c>
      <c r="R5" s="61">
        <v>0.0051</v>
      </c>
      <c r="S5" s="62">
        <f t="shared" si="2"/>
        <v>0.051</v>
      </c>
      <c r="T5" s="91"/>
    </row>
    <row r="6" ht="16.5" spans="1:20">
      <c r="A6" s="9">
        <v>4</v>
      </c>
      <c r="B6" s="16" t="s">
        <v>43</v>
      </c>
      <c r="C6" s="114" t="s">
        <v>44</v>
      </c>
      <c r="D6" s="115" t="s">
        <v>45</v>
      </c>
      <c r="E6" s="116" t="s">
        <v>46</v>
      </c>
      <c r="F6" s="116" t="s">
        <v>47</v>
      </c>
      <c r="G6" s="31" t="s">
        <v>48</v>
      </c>
      <c r="H6" s="32" t="s">
        <v>49</v>
      </c>
      <c r="I6" s="63" t="s">
        <v>50</v>
      </c>
      <c r="J6" s="31" t="s">
        <v>36</v>
      </c>
      <c r="K6" s="31">
        <v>4</v>
      </c>
      <c r="L6" s="64">
        <v>30</v>
      </c>
      <c r="M6" s="63">
        <f t="shared" si="3"/>
        <v>20</v>
      </c>
      <c r="N6" s="65" t="s">
        <v>30</v>
      </c>
      <c r="O6" s="66">
        <v>0.0632</v>
      </c>
      <c r="P6" s="67">
        <f t="shared" si="0"/>
        <v>0.2528</v>
      </c>
      <c r="Q6" s="67">
        <f t="shared" si="1"/>
        <v>1.896</v>
      </c>
      <c r="R6" s="66">
        <v>0.0632</v>
      </c>
      <c r="S6" s="67">
        <f t="shared" si="2"/>
        <v>1.264</v>
      </c>
      <c r="T6" s="92"/>
    </row>
    <row r="7" ht="15.75" spans="1:20">
      <c r="A7" s="9">
        <v>5</v>
      </c>
      <c r="B7" s="10" t="s">
        <v>51</v>
      </c>
      <c r="C7" s="117" t="s">
        <v>52</v>
      </c>
      <c r="D7" s="106" t="s">
        <v>53</v>
      </c>
      <c r="E7" s="108" t="s">
        <v>54</v>
      </c>
      <c r="F7" s="108" t="s">
        <v>55</v>
      </c>
      <c r="G7" s="14" t="s">
        <v>56</v>
      </c>
      <c r="H7" s="15" t="s">
        <v>57</v>
      </c>
      <c r="I7" s="14" t="s">
        <v>36</v>
      </c>
      <c r="J7" s="14" t="s">
        <v>36</v>
      </c>
      <c r="K7" s="14">
        <v>1</v>
      </c>
      <c r="L7" s="50">
        <v>10</v>
      </c>
      <c r="M7" s="51">
        <f t="shared" si="3"/>
        <v>5</v>
      </c>
      <c r="N7" s="68" t="s">
        <v>30</v>
      </c>
      <c r="O7" s="53">
        <v>0.1124</v>
      </c>
      <c r="P7" s="54">
        <f t="shared" si="0"/>
        <v>0.1124</v>
      </c>
      <c r="Q7" s="54">
        <f t="shared" si="1"/>
        <v>1.124</v>
      </c>
      <c r="R7" s="53">
        <v>0.1124</v>
      </c>
      <c r="S7" s="54">
        <f t="shared" si="2"/>
        <v>0.562</v>
      </c>
      <c r="T7" s="89"/>
    </row>
    <row r="8" ht="15.75" spans="1:20">
      <c r="A8" s="9">
        <v>6</v>
      </c>
      <c r="B8" s="16"/>
      <c r="C8" s="17" t="s">
        <v>58</v>
      </c>
      <c r="D8" s="110" t="s">
        <v>59</v>
      </c>
      <c r="E8" s="111" t="s">
        <v>60</v>
      </c>
      <c r="F8" s="111" t="s">
        <v>61</v>
      </c>
      <c r="G8" s="20" t="s">
        <v>56</v>
      </c>
      <c r="H8" s="21" t="s">
        <v>62</v>
      </c>
      <c r="I8" s="20" t="s">
        <v>36</v>
      </c>
      <c r="J8" s="20" t="s">
        <v>36</v>
      </c>
      <c r="K8" s="20">
        <v>2</v>
      </c>
      <c r="L8" s="55">
        <v>20</v>
      </c>
      <c r="M8" s="36">
        <f t="shared" si="3"/>
        <v>10</v>
      </c>
      <c r="N8" s="69" t="s">
        <v>30</v>
      </c>
      <c r="O8" s="57">
        <v>0.0354</v>
      </c>
      <c r="P8" s="58">
        <f t="shared" si="0"/>
        <v>0.0708</v>
      </c>
      <c r="Q8" s="58">
        <f t="shared" si="1"/>
        <v>0.708</v>
      </c>
      <c r="R8" s="57">
        <v>0.0354</v>
      </c>
      <c r="S8" s="58">
        <f t="shared" si="2"/>
        <v>0.354</v>
      </c>
      <c r="T8" s="90"/>
    </row>
    <row r="9" spans="1:20">
      <c r="A9" s="9">
        <v>7</v>
      </c>
      <c r="B9" s="22"/>
      <c r="C9" s="23" t="s">
        <v>63</v>
      </c>
      <c r="D9" s="25" t="s">
        <v>64</v>
      </c>
      <c r="E9" s="113" t="s">
        <v>65</v>
      </c>
      <c r="F9" s="113" t="s">
        <v>66</v>
      </c>
      <c r="G9" s="26" t="s">
        <v>56</v>
      </c>
      <c r="H9" s="27" t="s">
        <v>67</v>
      </c>
      <c r="I9" s="47" t="s">
        <v>36</v>
      </c>
      <c r="J9" s="26" t="s">
        <v>36</v>
      </c>
      <c r="K9" s="26">
        <v>1</v>
      </c>
      <c r="L9" s="59">
        <v>10</v>
      </c>
      <c r="M9" s="47">
        <f t="shared" si="3"/>
        <v>5</v>
      </c>
      <c r="N9" s="70" t="s">
        <v>30</v>
      </c>
      <c r="O9" s="61">
        <v>0.0984</v>
      </c>
      <c r="P9" s="62">
        <f t="shared" si="0"/>
        <v>0.0984</v>
      </c>
      <c r="Q9" s="62">
        <f t="shared" si="1"/>
        <v>0.984</v>
      </c>
      <c r="R9" s="61">
        <v>0.0984</v>
      </c>
      <c r="S9" s="62">
        <f t="shared" si="2"/>
        <v>0.492</v>
      </c>
      <c r="T9" s="91"/>
    </row>
    <row r="10" ht="26.25" spans="1:20">
      <c r="A10" s="9">
        <v>8</v>
      </c>
      <c r="B10" s="10" t="s">
        <v>68</v>
      </c>
      <c r="C10" s="11" t="s">
        <v>69</v>
      </c>
      <c r="D10" s="106" t="s">
        <v>70</v>
      </c>
      <c r="E10" s="108" t="s">
        <v>71</v>
      </c>
      <c r="F10" s="108" t="s">
        <v>72</v>
      </c>
      <c r="G10" s="14" t="s">
        <v>73</v>
      </c>
      <c r="H10" s="15" t="s">
        <v>74</v>
      </c>
      <c r="I10" s="51" t="s">
        <v>75</v>
      </c>
      <c r="J10" s="108" t="s">
        <v>76</v>
      </c>
      <c r="K10" s="34">
        <v>5</v>
      </c>
      <c r="L10" s="50">
        <v>100</v>
      </c>
      <c r="M10" s="51">
        <f t="shared" si="3"/>
        <v>25</v>
      </c>
      <c r="N10" s="68" t="s">
        <v>30</v>
      </c>
      <c r="O10" s="53">
        <v>0.0012</v>
      </c>
      <c r="P10" s="54">
        <f t="shared" ref="P10:P20" si="4">O10*K10</f>
        <v>0.006</v>
      </c>
      <c r="Q10" s="54">
        <f t="shared" ref="Q10:Q14" si="5">O10*L10</f>
        <v>0.12</v>
      </c>
      <c r="R10" s="53">
        <v>0.0012</v>
      </c>
      <c r="S10" s="54">
        <f t="shared" ref="S10:S14" si="6">R10*M10</f>
        <v>0.03</v>
      </c>
      <c r="T10" s="89"/>
    </row>
    <row r="11" spans="1:20">
      <c r="A11" s="9">
        <v>9</v>
      </c>
      <c r="B11" s="16"/>
      <c r="C11" s="118" t="s">
        <v>77</v>
      </c>
      <c r="D11" s="110" t="s">
        <v>78</v>
      </c>
      <c r="E11" s="19" t="s">
        <v>79</v>
      </c>
      <c r="F11" s="111" t="s">
        <v>80</v>
      </c>
      <c r="G11" s="20" t="s">
        <v>81</v>
      </c>
      <c r="H11" s="36" t="s">
        <v>36</v>
      </c>
      <c r="I11" s="36" t="s">
        <v>36</v>
      </c>
      <c r="J11" s="111" t="s">
        <v>76</v>
      </c>
      <c r="K11" s="19">
        <v>1</v>
      </c>
      <c r="L11" s="55">
        <v>7</v>
      </c>
      <c r="M11" s="36">
        <f t="shared" si="3"/>
        <v>5</v>
      </c>
      <c r="N11" s="56" t="s">
        <v>82</v>
      </c>
      <c r="O11" s="58">
        <v>0.4762</v>
      </c>
      <c r="P11" s="54">
        <f>O11*K11</f>
        <v>0.4762</v>
      </c>
      <c r="Q11" s="54">
        <f>O11*L11</f>
        <v>3.3334</v>
      </c>
      <c r="R11" s="58">
        <v>0.4762</v>
      </c>
      <c r="S11" s="54">
        <f>R11*M11</f>
        <v>2.381</v>
      </c>
      <c r="T11" s="93"/>
    </row>
    <row r="12" spans="1:20">
      <c r="A12" s="9">
        <v>10</v>
      </c>
      <c r="B12" s="16"/>
      <c r="C12" s="118" t="s">
        <v>83</v>
      </c>
      <c r="D12" s="110" t="s">
        <v>84</v>
      </c>
      <c r="E12" s="111" t="s">
        <v>71</v>
      </c>
      <c r="F12" s="111" t="s">
        <v>85</v>
      </c>
      <c r="G12" s="20" t="s">
        <v>86</v>
      </c>
      <c r="H12" s="21" t="s">
        <v>87</v>
      </c>
      <c r="I12" s="36" t="s">
        <v>36</v>
      </c>
      <c r="J12" s="111" t="s">
        <v>88</v>
      </c>
      <c r="K12" s="19">
        <v>2</v>
      </c>
      <c r="L12" s="71">
        <v>100</v>
      </c>
      <c r="M12" s="36">
        <f t="shared" si="3"/>
        <v>10</v>
      </c>
      <c r="N12" s="69" t="s">
        <v>30</v>
      </c>
      <c r="O12" s="57">
        <v>0.0016</v>
      </c>
      <c r="P12" s="58">
        <f t="shared" si="4"/>
        <v>0.0032</v>
      </c>
      <c r="Q12" s="58">
        <f t="shared" si="5"/>
        <v>0.16</v>
      </c>
      <c r="R12" s="57">
        <v>0.0016</v>
      </c>
      <c r="S12" s="58">
        <f t="shared" si="6"/>
        <v>0.016</v>
      </c>
      <c r="T12" s="93"/>
    </row>
    <row r="13" ht="15.75" spans="1:20">
      <c r="A13" s="9">
        <v>11</v>
      </c>
      <c r="B13" s="16"/>
      <c r="C13" s="17" t="s">
        <v>89</v>
      </c>
      <c r="D13" s="110" t="s">
        <v>90</v>
      </c>
      <c r="E13" s="111" t="s">
        <v>71</v>
      </c>
      <c r="F13" s="111" t="s">
        <v>91</v>
      </c>
      <c r="G13" s="20" t="s">
        <v>86</v>
      </c>
      <c r="H13" s="21" t="s">
        <v>92</v>
      </c>
      <c r="I13" s="21" t="s">
        <v>93</v>
      </c>
      <c r="J13" s="111" t="s">
        <v>94</v>
      </c>
      <c r="K13" s="19">
        <v>1</v>
      </c>
      <c r="L13" s="71">
        <v>100</v>
      </c>
      <c r="M13" s="36">
        <f t="shared" si="3"/>
        <v>5</v>
      </c>
      <c r="N13" s="69" t="s">
        <v>30</v>
      </c>
      <c r="O13" s="57">
        <v>0.0017</v>
      </c>
      <c r="P13" s="58">
        <f t="shared" si="4"/>
        <v>0.0017</v>
      </c>
      <c r="Q13" s="58">
        <f t="shared" si="5"/>
        <v>0.17</v>
      </c>
      <c r="R13" s="57">
        <v>0.0017</v>
      </c>
      <c r="S13" s="58">
        <f t="shared" si="6"/>
        <v>0.0085</v>
      </c>
      <c r="T13" s="94"/>
    </row>
    <row r="14" ht="15.75" spans="1:20">
      <c r="A14" s="9">
        <v>12</v>
      </c>
      <c r="B14" s="16"/>
      <c r="C14" s="17" t="s">
        <v>95</v>
      </c>
      <c r="D14" s="110" t="s">
        <v>96</v>
      </c>
      <c r="E14" s="111" t="s">
        <v>71</v>
      </c>
      <c r="F14" s="111" t="s">
        <v>97</v>
      </c>
      <c r="G14" s="20" t="s">
        <v>86</v>
      </c>
      <c r="H14" s="36" t="s">
        <v>98</v>
      </c>
      <c r="I14" s="36" t="s">
        <v>36</v>
      </c>
      <c r="J14" s="111" t="s">
        <v>99</v>
      </c>
      <c r="K14" s="19">
        <v>3</v>
      </c>
      <c r="L14" s="71">
        <v>100</v>
      </c>
      <c r="M14" s="36">
        <f t="shared" si="3"/>
        <v>15</v>
      </c>
      <c r="N14" s="69" t="s">
        <v>30</v>
      </c>
      <c r="O14" s="58">
        <v>0.0019</v>
      </c>
      <c r="P14" s="58">
        <f t="shared" si="4"/>
        <v>0.0057</v>
      </c>
      <c r="Q14" s="58">
        <f t="shared" si="5"/>
        <v>0.19</v>
      </c>
      <c r="R14" s="58">
        <v>0.0019</v>
      </c>
      <c r="S14" s="58">
        <f t="shared" si="6"/>
        <v>0.0285</v>
      </c>
      <c r="T14" s="95"/>
    </row>
    <row r="15" ht="15.75" spans="1:20">
      <c r="A15" s="9">
        <v>13</v>
      </c>
      <c r="B15" s="16"/>
      <c r="C15" s="118" t="s">
        <v>100</v>
      </c>
      <c r="D15" s="110" t="s">
        <v>101</v>
      </c>
      <c r="E15" s="111" t="s">
        <v>71</v>
      </c>
      <c r="F15" s="111" t="s">
        <v>102</v>
      </c>
      <c r="G15" s="20" t="s">
        <v>103</v>
      </c>
      <c r="H15" s="36" t="s">
        <v>104</v>
      </c>
      <c r="I15" s="36" t="s">
        <v>36</v>
      </c>
      <c r="J15" s="19" t="s">
        <v>105</v>
      </c>
      <c r="K15" s="19">
        <v>1</v>
      </c>
      <c r="L15" s="55">
        <v>100</v>
      </c>
      <c r="M15" s="36">
        <f t="shared" si="3"/>
        <v>5</v>
      </c>
      <c r="N15" s="69" t="s">
        <v>30</v>
      </c>
      <c r="O15" s="58">
        <v>0.0013</v>
      </c>
      <c r="P15" s="58">
        <f t="shared" si="4"/>
        <v>0.0013</v>
      </c>
      <c r="Q15" s="58">
        <f t="shared" ref="Q15:Q20" si="7">O15*L15</f>
        <v>0.13</v>
      </c>
      <c r="R15" s="58">
        <v>0.0013</v>
      </c>
      <c r="S15" s="58">
        <f t="shared" ref="S15:S20" si="8">R15*M15</f>
        <v>0.0065</v>
      </c>
      <c r="T15" s="96"/>
    </row>
    <row r="16" ht="15.75" spans="1:20">
      <c r="A16" s="9">
        <v>14</v>
      </c>
      <c r="B16" s="16"/>
      <c r="C16" s="118" t="s">
        <v>106</v>
      </c>
      <c r="D16" s="110" t="s">
        <v>107</v>
      </c>
      <c r="E16" s="111" t="s">
        <v>71</v>
      </c>
      <c r="F16" s="111" t="s">
        <v>108</v>
      </c>
      <c r="G16" s="20" t="s">
        <v>109</v>
      </c>
      <c r="H16" s="36" t="s">
        <v>110</v>
      </c>
      <c r="I16" s="36" t="s">
        <v>36</v>
      </c>
      <c r="J16" s="19" t="s">
        <v>111</v>
      </c>
      <c r="K16" s="19">
        <v>1</v>
      </c>
      <c r="L16" s="55">
        <v>100</v>
      </c>
      <c r="M16" s="36">
        <f t="shared" si="3"/>
        <v>5</v>
      </c>
      <c r="N16" s="69" t="s">
        <v>30</v>
      </c>
      <c r="O16" s="58">
        <v>0.0014</v>
      </c>
      <c r="P16" s="58">
        <f t="shared" si="4"/>
        <v>0.0014</v>
      </c>
      <c r="Q16" s="58">
        <f t="shared" si="7"/>
        <v>0.14</v>
      </c>
      <c r="R16" s="58">
        <v>0.0014</v>
      </c>
      <c r="S16" s="58">
        <f t="shared" si="8"/>
        <v>0.007</v>
      </c>
      <c r="T16" s="96"/>
    </row>
    <row r="17" ht="15.75" spans="1:20">
      <c r="A17" s="9">
        <v>15</v>
      </c>
      <c r="B17" s="16"/>
      <c r="C17" s="17" t="s">
        <v>112</v>
      </c>
      <c r="D17" s="110" t="s">
        <v>113</v>
      </c>
      <c r="E17" s="111" t="s">
        <v>71</v>
      </c>
      <c r="F17" s="111" t="s">
        <v>114</v>
      </c>
      <c r="G17" s="20" t="s">
        <v>86</v>
      </c>
      <c r="H17" s="21" t="s">
        <v>115</v>
      </c>
      <c r="I17" s="36" t="s">
        <v>36</v>
      </c>
      <c r="J17" s="19" t="s">
        <v>116</v>
      </c>
      <c r="K17" s="19">
        <v>1</v>
      </c>
      <c r="L17" s="55">
        <v>100</v>
      </c>
      <c r="M17" s="36">
        <f t="shared" si="3"/>
        <v>5</v>
      </c>
      <c r="N17" s="56" t="s">
        <v>30</v>
      </c>
      <c r="O17" s="58">
        <v>0.0019</v>
      </c>
      <c r="P17" s="58">
        <f t="shared" si="4"/>
        <v>0.0019</v>
      </c>
      <c r="Q17" s="58">
        <f t="shared" si="7"/>
        <v>0.19</v>
      </c>
      <c r="R17" s="58">
        <v>0.0019</v>
      </c>
      <c r="S17" s="58">
        <f t="shared" si="8"/>
        <v>0.0095</v>
      </c>
      <c r="T17" s="97"/>
    </row>
    <row r="18" ht="15.75" spans="1:20">
      <c r="A18" s="9">
        <v>16</v>
      </c>
      <c r="B18" s="16"/>
      <c r="C18" s="118" t="s">
        <v>117</v>
      </c>
      <c r="D18" s="110" t="s">
        <v>118</v>
      </c>
      <c r="E18" s="111" t="s">
        <v>71</v>
      </c>
      <c r="F18" s="111" t="s">
        <v>119</v>
      </c>
      <c r="G18" s="20" t="s">
        <v>86</v>
      </c>
      <c r="H18" s="21" t="s">
        <v>120</v>
      </c>
      <c r="I18" s="36" t="s">
        <v>36</v>
      </c>
      <c r="J18" s="19" t="s">
        <v>121</v>
      </c>
      <c r="K18" s="19">
        <v>1</v>
      </c>
      <c r="L18" s="55">
        <v>100</v>
      </c>
      <c r="M18" s="36">
        <f t="shared" si="3"/>
        <v>5</v>
      </c>
      <c r="N18" s="56" t="s">
        <v>30</v>
      </c>
      <c r="O18" s="58">
        <v>0.0013</v>
      </c>
      <c r="P18" s="58">
        <f t="shared" si="4"/>
        <v>0.0013</v>
      </c>
      <c r="Q18" s="58">
        <f t="shared" si="7"/>
        <v>0.13</v>
      </c>
      <c r="R18" s="58">
        <v>0.0013</v>
      </c>
      <c r="S18" s="58">
        <f t="shared" si="8"/>
        <v>0.0065</v>
      </c>
      <c r="T18" s="98"/>
    </row>
    <row r="19" spans="1:20">
      <c r="A19" s="9">
        <v>17</v>
      </c>
      <c r="B19" s="22"/>
      <c r="C19" s="23" t="s">
        <v>122</v>
      </c>
      <c r="D19" s="112" t="s">
        <v>123</v>
      </c>
      <c r="E19" s="113" t="s">
        <v>71</v>
      </c>
      <c r="F19" s="113" t="s">
        <v>124</v>
      </c>
      <c r="G19" s="26" t="s">
        <v>86</v>
      </c>
      <c r="H19" s="27" t="s">
        <v>125</v>
      </c>
      <c r="I19" s="47" t="s">
        <v>36</v>
      </c>
      <c r="J19" s="25" t="s">
        <v>126</v>
      </c>
      <c r="K19" s="25">
        <v>4</v>
      </c>
      <c r="L19" s="59">
        <v>100</v>
      </c>
      <c r="M19" s="47">
        <f t="shared" si="3"/>
        <v>20</v>
      </c>
      <c r="N19" s="70" t="s">
        <v>30</v>
      </c>
      <c r="O19" s="62">
        <v>0.0011</v>
      </c>
      <c r="P19" s="62">
        <f t="shared" si="4"/>
        <v>0.0044</v>
      </c>
      <c r="Q19" s="62">
        <f t="shared" si="7"/>
        <v>0.11</v>
      </c>
      <c r="R19" s="62">
        <v>0.0011</v>
      </c>
      <c r="S19" s="62">
        <f t="shared" si="8"/>
        <v>0.022</v>
      </c>
      <c r="T19" s="99"/>
    </row>
    <row r="20" ht="16.5" spans="1:20">
      <c r="A20" s="9">
        <v>18</v>
      </c>
      <c r="B20" s="16" t="s">
        <v>127</v>
      </c>
      <c r="C20" s="114" t="s">
        <v>128</v>
      </c>
      <c r="D20" s="115" t="s">
        <v>129</v>
      </c>
      <c r="E20" s="30" t="s">
        <v>79</v>
      </c>
      <c r="F20" s="116" t="s">
        <v>130</v>
      </c>
      <c r="G20" s="31" t="s">
        <v>36</v>
      </c>
      <c r="H20" s="32" t="s">
        <v>36</v>
      </c>
      <c r="I20" s="63" t="s">
        <v>36</v>
      </c>
      <c r="J20" s="31" t="s">
        <v>36</v>
      </c>
      <c r="K20" s="31">
        <v>1</v>
      </c>
      <c r="L20" s="64">
        <v>7</v>
      </c>
      <c r="M20" s="63">
        <f t="shared" si="3"/>
        <v>5</v>
      </c>
      <c r="N20" s="72" t="s">
        <v>82</v>
      </c>
      <c r="O20" s="67">
        <v>0.318</v>
      </c>
      <c r="P20" s="67">
        <f t="shared" si="4"/>
        <v>0.318</v>
      </c>
      <c r="Q20" s="67">
        <f t="shared" si="7"/>
        <v>2.226</v>
      </c>
      <c r="R20" s="67">
        <v>0.318</v>
      </c>
      <c r="S20" s="67">
        <f t="shared" si="8"/>
        <v>1.59</v>
      </c>
      <c r="T20" s="100"/>
    </row>
    <row r="21" ht="16.5" spans="1:20">
      <c r="A21" s="9">
        <v>19</v>
      </c>
      <c r="B21" s="37" t="s">
        <v>131</v>
      </c>
      <c r="C21" s="119" t="s">
        <v>132</v>
      </c>
      <c r="D21" s="120" t="s">
        <v>133</v>
      </c>
      <c r="E21" s="39" t="s">
        <v>79</v>
      </c>
      <c r="F21" s="120" t="s">
        <v>134</v>
      </c>
      <c r="G21" s="40" t="s">
        <v>135</v>
      </c>
      <c r="H21" s="41" t="s">
        <v>136</v>
      </c>
      <c r="I21" s="73" t="s">
        <v>36</v>
      </c>
      <c r="J21" s="40" t="s">
        <v>36</v>
      </c>
      <c r="K21" s="40">
        <v>2</v>
      </c>
      <c r="L21" s="73">
        <v>12</v>
      </c>
      <c r="M21" s="73">
        <f t="shared" si="3"/>
        <v>10</v>
      </c>
      <c r="N21" s="74" t="s">
        <v>30</v>
      </c>
      <c r="O21" s="75">
        <v>0.4166</v>
      </c>
      <c r="P21" s="76">
        <f t="shared" ref="P21:P27" si="9">O21*K21</f>
        <v>0.8332</v>
      </c>
      <c r="Q21" s="76">
        <f t="shared" ref="Q21:Q27" si="10">O21*L21</f>
        <v>4.9992</v>
      </c>
      <c r="R21" s="76">
        <v>0.4166</v>
      </c>
      <c r="S21" s="76">
        <f t="shared" ref="S21:S27" si="11">R21*M21</f>
        <v>4.166</v>
      </c>
      <c r="T21" s="101"/>
    </row>
    <row r="22" ht="15.75" spans="1:20">
      <c r="A22" s="9">
        <v>20</v>
      </c>
      <c r="B22" s="10" t="s">
        <v>137</v>
      </c>
      <c r="C22" s="117" t="s">
        <v>138</v>
      </c>
      <c r="D22" s="108" t="s">
        <v>139</v>
      </c>
      <c r="E22" s="34" t="s">
        <v>79</v>
      </c>
      <c r="F22" s="108" t="s">
        <v>140</v>
      </c>
      <c r="G22" s="14" t="s">
        <v>141</v>
      </c>
      <c r="H22" s="15" t="s">
        <v>142</v>
      </c>
      <c r="I22" s="51" t="s">
        <v>36</v>
      </c>
      <c r="J22" s="51" t="s">
        <v>36</v>
      </c>
      <c r="K22" s="34">
        <v>1</v>
      </c>
      <c r="L22" s="77">
        <v>6</v>
      </c>
      <c r="M22" s="51">
        <f t="shared" si="3"/>
        <v>5</v>
      </c>
      <c r="N22" s="52" t="s">
        <v>30</v>
      </c>
      <c r="O22" s="54">
        <v>5.1105</v>
      </c>
      <c r="P22" s="54">
        <f t="shared" si="9"/>
        <v>5.1105</v>
      </c>
      <c r="Q22" s="54">
        <f t="shared" si="10"/>
        <v>30.663</v>
      </c>
      <c r="R22" s="54">
        <v>5.1105</v>
      </c>
      <c r="S22" s="54">
        <f t="shared" si="11"/>
        <v>25.5525</v>
      </c>
      <c r="T22" s="102"/>
    </row>
    <row r="23" ht="15.75" spans="1:20">
      <c r="A23" s="9">
        <v>21</v>
      </c>
      <c r="B23" s="16"/>
      <c r="C23" s="17" t="s">
        <v>143</v>
      </c>
      <c r="D23" s="111" t="s">
        <v>144</v>
      </c>
      <c r="E23" s="111" t="s">
        <v>145</v>
      </c>
      <c r="F23" s="111" t="s">
        <v>146</v>
      </c>
      <c r="G23" s="20" t="s">
        <v>147</v>
      </c>
      <c r="H23" s="21" t="s">
        <v>148</v>
      </c>
      <c r="I23" s="36" t="s">
        <v>36</v>
      </c>
      <c r="J23" s="36" t="s">
        <v>36</v>
      </c>
      <c r="K23" s="19">
        <v>1</v>
      </c>
      <c r="L23" s="78">
        <v>6</v>
      </c>
      <c r="M23" s="36">
        <f t="shared" si="3"/>
        <v>5</v>
      </c>
      <c r="N23" s="56" t="s">
        <v>30</v>
      </c>
      <c r="O23" s="58">
        <v>0.2512</v>
      </c>
      <c r="P23" s="58">
        <f t="shared" si="9"/>
        <v>0.2512</v>
      </c>
      <c r="Q23" s="58">
        <f t="shared" si="10"/>
        <v>1.5072</v>
      </c>
      <c r="R23" s="58">
        <v>0.2512</v>
      </c>
      <c r="S23" s="58">
        <f t="shared" si="11"/>
        <v>1.256</v>
      </c>
      <c r="T23" s="103"/>
    </row>
    <row r="24" ht="15.75" spans="1:20">
      <c r="A24" s="9">
        <v>22</v>
      </c>
      <c r="B24" s="16"/>
      <c r="C24" s="17" t="s">
        <v>149</v>
      </c>
      <c r="D24" s="111" t="s">
        <v>150</v>
      </c>
      <c r="E24" s="111" t="s">
        <v>151</v>
      </c>
      <c r="F24" s="111" t="s">
        <v>152</v>
      </c>
      <c r="G24" s="20" t="s">
        <v>153</v>
      </c>
      <c r="H24" s="21" t="s">
        <v>154</v>
      </c>
      <c r="I24" s="36" t="s">
        <v>36</v>
      </c>
      <c r="J24" s="36" t="s">
        <v>36</v>
      </c>
      <c r="K24" s="19">
        <v>1</v>
      </c>
      <c r="L24" s="78">
        <v>6</v>
      </c>
      <c r="M24" s="36">
        <f t="shared" si="3"/>
        <v>5</v>
      </c>
      <c r="N24" s="56" t="s">
        <v>30</v>
      </c>
      <c r="O24" s="58">
        <v>1.65</v>
      </c>
      <c r="P24" s="58">
        <f t="shared" si="9"/>
        <v>1.65</v>
      </c>
      <c r="Q24" s="58">
        <f t="shared" si="10"/>
        <v>9.9</v>
      </c>
      <c r="R24" s="58">
        <v>1.65</v>
      </c>
      <c r="S24" s="58">
        <f t="shared" si="11"/>
        <v>8.25</v>
      </c>
      <c r="T24" s="103"/>
    </row>
    <row r="25" ht="15.75" spans="1:20">
      <c r="A25" s="9">
        <v>23</v>
      </c>
      <c r="B25" s="22"/>
      <c r="C25" s="121" t="s">
        <v>155</v>
      </c>
      <c r="D25" s="113" t="s">
        <v>156</v>
      </c>
      <c r="E25" s="25" t="s">
        <v>157</v>
      </c>
      <c r="F25" s="113" t="s">
        <v>158</v>
      </c>
      <c r="G25" s="26" t="s">
        <v>159</v>
      </c>
      <c r="H25" s="27" t="s">
        <v>160</v>
      </c>
      <c r="I25" s="47" t="s">
        <v>36</v>
      </c>
      <c r="J25" s="26" t="s">
        <v>36</v>
      </c>
      <c r="K25" s="25">
        <v>1</v>
      </c>
      <c r="L25" s="79">
        <v>6</v>
      </c>
      <c r="M25" s="47">
        <f t="shared" si="3"/>
        <v>5</v>
      </c>
      <c r="N25" s="70" t="s">
        <v>30</v>
      </c>
      <c r="O25" s="62">
        <v>3.1053</v>
      </c>
      <c r="P25" s="62">
        <f t="shared" si="9"/>
        <v>3.1053</v>
      </c>
      <c r="Q25" s="62">
        <f t="shared" si="10"/>
        <v>18.6318</v>
      </c>
      <c r="R25" s="104">
        <v>3.1053</v>
      </c>
      <c r="S25" s="62">
        <f t="shared" si="11"/>
        <v>15.5265</v>
      </c>
      <c r="T25" s="105"/>
    </row>
    <row r="26" ht="15.75" spans="1:20">
      <c r="A26" s="9">
        <v>24</v>
      </c>
      <c r="B26" s="42" t="s">
        <v>161</v>
      </c>
      <c r="C26" s="117" t="s">
        <v>162</v>
      </c>
      <c r="D26" s="108" t="s">
        <v>163</v>
      </c>
      <c r="E26" s="34" t="s">
        <v>79</v>
      </c>
      <c r="F26" s="108" t="s">
        <v>164</v>
      </c>
      <c r="G26" s="14" t="s">
        <v>165</v>
      </c>
      <c r="H26" s="15" t="s">
        <v>166</v>
      </c>
      <c r="I26" s="51" t="s">
        <v>36</v>
      </c>
      <c r="J26" s="14" t="s">
        <v>36</v>
      </c>
      <c r="K26" s="12">
        <v>1</v>
      </c>
      <c r="L26" s="80">
        <v>7</v>
      </c>
      <c r="M26" s="51">
        <f t="shared" si="3"/>
        <v>5</v>
      </c>
      <c r="N26" s="52" t="s">
        <v>30</v>
      </c>
      <c r="O26" s="54">
        <v>0.2242</v>
      </c>
      <c r="P26" s="54">
        <f t="shared" si="9"/>
        <v>0.2242</v>
      </c>
      <c r="Q26" s="54">
        <f t="shared" si="10"/>
        <v>1.5694</v>
      </c>
      <c r="R26" s="54">
        <v>0.2242</v>
      </c>
      <c r="S26" s="54">
        <f t="shared" si="11"/>
        <v>1.121</v>
      </c>
      <c r="T26" s="102"/>
    </row>
    <row r="27" ht="15.75" spans="1:20">
      <c r="A27" s="9">
        <v>25</v>
      </c>
      <c r="B27" s="43"/>
      <c r="C27" s="17" t="s">
        <v>167</v>
      </c>
      <c r="D27" s="122" t="s">
        <v>168</v>
      </c>
      <c r="E27" s="44" t="s">
        <v>79</v>
      </c>
      <c r="F27" s="122" t="s">
        <v>169</v>
      </c>
      <c r="G27" s="20" t="s">
        <v>170</v>
      </c>
      <c r="H27" s="21" t="s">
        <v>171</v>
      </c>
      <c r="I27" s="36" t="s">
        <v>36</v>
      </c>
      <c r="J27" s="20" t="s">
        <v>36</v>
      </c>
      <c r="K27" s="18">
        <v>1</v>
      </c>
      <c r="L27" s="71">
        <v>20</v>
      </c>
      <c r="M27" s="36">
        <f t="shared" si="3"/>
        <v>5</v>
      </c>
      <c r="N27" s="56" t="s">
        <v>30</v>
      </c>
      <c r="O27" s="58">
        <v>0.031</v>
      </c>
      <c r="P27" s="58">
        <f t="shared" si="9"/>
        <v>0.031</v>
      </c>
      <c r="Q27" s="58">
        <f t="shared" si="10"/>
        <v>0.62</v>
      </c>
      <c r="R27" s="58">
        <v>0.031</v>
      </c>
      <c r="S27" s="58">
        <f t="shared" si="11"/>
        <v>0.155</v>
      </c>
      <c r="T27" s="103"/>
    </row>
    <row r="28" ht="15.75" spans="1:20">
      <c r="A28" s="9">
        <v>26</v>
      </c>
      <c r="B28" s="43"/>
      <c r="C28" s="109" t="s">
        <v>172</v>
      </c>
      <c r="D28" s="122" t="s">
        <v>173</v>
      </c>
      <c r="E28" s="122" t="s">
        <v>174</v>
      </c>
      <c r="F28" s="122" t="s">
        <v>174</v>
      </c>
      <c r="G28" s="20" t="s">
        <v>36</v>
      </c>
      <c r="H28" s="36" t="s">
        <v>36</v>
      </c>
      <c r="I28" s="36" t="s">
        <v>36</v>
      </c>
      <c r="J28" s="20" t="s">
        <v>36</v>
      </c>
      <c r="K28" s="18">
        <v>1</v>
      </c>
      <c r="L28" s="36" t="s">
        <v>36</v>
      </c>
      <c r="M28" s="36">
        <f t="shared" si="3"/>
        <v>5</v>
      </c>
      <c r="N28" s="36" t="s">
        <v>36</v>
      </c>
      <c r="O28" s="36" t="s">
        <v>36</v>
      </c>
      <c r="P28" s="36" t="s">
        <v>36</v>
      </c>
      <c r="Q28" s="36" t="s">
        <v>36</v>
      </c>
      <c r="R28" s="36" t="s">
        <v>36</v>
      </c>
      <c r="S28" s="36" t="s">
        <v>36</v>
      </c>
      <c r="T28" s="103"/>
    </row>
    <row r="29" ht="15.75" spans="1:20">
      <c r="A29" s="9">
        <v>27</v>
      </c>
      <c r="B29" s="45"/>
      <c r="C29" s="123" t="s">
        <v>175</v>
      </c>
      <c r="D29" s="113" t="s">
        <v>176</v>
      </c>
      <c r="E29" s="25" t="s">
        <v>79</v>
      </c>
      <c r="F29" s="113" t="s">
        <v>177</v>
      </c>
      <c r="G29" s="26" t="s">
        <v>36</v>
      </c>
      <c r="H29" s="47" t="s">
        <v>36</v>
      </c>
      <c r="I29" s="47" t="s">
        <v>36</v>
      </c>
      <c r="J29" s="26" t="s">
        <v>36</v>
      </c>
      <c r="K29" s="24">
        <v>5</v>
      </c>
      <c r="L29" s="47" t="s">
        <v>36</v>
      </c>
      <c r="M29" s="47">
        <f t="shared" si="3"/>
        <v>25</v>
      </c>
      <c r="N29" s="47" t="s">
        <v>36</v>
      </c>
      <c r="O29" s="47" t="s">
        <v>36</v>
      </c>
      <c r="P29" s="47" t="s">
        <v>36</v>
      </c>
      <c r="Q29" s="47" t="s">
        <v>36</v>
      </c>
      <c r="R29" s="47" t="s">
        <v>36</v>
      </c>
      <c r="S29" s="47" t="s">
        <v>36</v>
      </c>
      <c r="T29" s="105"/>
    </row>
    <row r="30" ht="19.5" spans="11:17">
      <c r="K30" s="81" t="s">
        <v>178</v>
      </c>
      <c r="L30" s="81"/>
      <c r="M30" s="81"/>
      <c r="N30" s="81"/>
      <c r="O30" s="82">
        <f>SUM(O3:O29)</f>
        <v>11.9779</v>
      </c>
      <c r="P30" s="83"/>
      <c r="Q30" s="82">
        <f>SUM(Q3:Q29)</f>
        <v>81.379</v>
      </c>
    </row>
    <row r="31" ht="18.75" spans="11:17">
      <c r="K31" s="84" t="s">
        <v>179</v>
      </c>
      <c r="L31" s="84"/>
      <c r="M31" s="84"/>
      <c r="N31" s="84"/>
      <c r="O31" s="85">
        <f>SUM(O29:O30)</f>
        <v>11.9779</v>
      </c>
      <c r="P31" s="83"/>
      <c r="Q31" s="85">
        <f>Q30/5</f>
        <v>16.2758</v>
      </c>
    </row>
  </sheetData>
  <mergeCells count="8">
    <mergeCell ref="A1:R1"/>
    <mergeCell ref="K30:N30"/>
    <mergeCell ref="K31:N31"/>
    <mergeCell ref="B3:B5"/>
    <mergeCell ref="B7:B9"/>
    <mergeCell ref="B10:B19"/>
    <mergeCell ref="B22:B25"/>
    <mergeCell ref="B26:B29"/>
  </mergeCells>
  <conditionalFormatting sqref="P5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{17ead634-21f4-47f8-9caf-3e33964eef6a}</x14:id>
        </ext>
      </extLst>
    </cfRule>
  </conditionalFormatting>
  <conditionalFormatting sqref="S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{e82d952d-e01f-4b1e-88a2-b8f49a93f47d}</x14:id>
        </ext>
      </extLst>
    </cfRule>
  </conditionalFormatting>
  <conditionalFormatting sqref="P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{22c13d5c-4bf4-4b37-90e4-ebe21692e9fe}</x14:id>
        </ext>
      </extLst>
    </cfRule>
  </conditionalFormatting>
  <conditionalFormatting sqref="S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{0b329ca3-e34e-4aab-a503-7fd611db2f97}</x14:id>
        </ext>
      </extLst>
    </cfRule>
  </conditionalFormatting>
  <conditionalFormatting sqref="P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{6a42876f-f14c-4636-b38b-e24c555d0c5a}</x14:id>
        </ext>
      </extLst>
    </cfRule>
  </conditionalFormatting>
  <conditionalFormatting sqref="S21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{158646a7-fb27-493b-a7ff-54d604bad301}</x14:id>
        </ext>
      </extLst>
    </cfRule>
  </conditionalFormatting>
  <conditionalFormatting sqref="P22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{1136fb38-d2f8-4ea9-a367-22b6430b29d9}</x14:id>
        </ext>
      </extLst>
    </cfRule>
  </conditionalFormatting>
  <conditionalFormatting sqref="S2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{d4a5cf13-cf84-4591-9fcc-49ff52f9f1c4}</x14:id>
        </ext>
      </extLst>
    </cfRule>
  </conditionalFormatting>
  <conditionalFormatting sqref="O3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{235feb0c-ee6b-4a59-bd6e-7a0589e24a48}</x14:id>
        </ext>
      </extLst>
    </cfRule>
  </conditionalFormatting>
  <conditionalFormatting sqref="Q3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{682ecf16-2ac7-45c0-acde-784824b45411}</x14:id>
        </ext>
      </extLst>
    </cfRule>
  </conditionalFormatting>
  <conditionalFormatting sqref="M3:M2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P7:P9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{9387ee67-d922-4edd-9da9-92a432bdb36f}</x14:id>
        </ext>
      </extLst>
    </cfRule>
  </conditionalFormatting>
  <conditionalFormatting sqref="P10:P11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{c4f90b74-b997-4150-b66d-3e2b67e9d539}</x14:id>
        </ext>
      </extLst>
    </cfRule>
  </conditionalFormatting>
  <conditionalFormatting sqref="P12:P20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{9858b0c3-d0f8-40ab-a4eb-b7fa3cd44c37}</x14:id>
        </ext>
      </extLst>
    </cfRule>
  </conditionalFormatting>
  <conditionalFormatting sqref="P23:P25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{aa3267bb-7df4-4184-a49b-e7450b91d10b}</x14:id>
        </ext>
      </extLst>
    </cfRule>
  </conditionalFormatting>
  <conditionalFormatting sqref="P26:P2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{bfab5b23-2bbb-4d00-9329-1fc3154f45b1}</x14:id>
        </ext>
      </extLst>
    </cfRule>
  </conditionalFormatting>
  <conditionalFormatting sqref="S3:S4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S7:S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{85d471b6-7ba0-466d-8a61-5132ff9b9e71}</x14:id>
        </ext>
      </extLst>
    </cfRule>
  </conditionalFormatting>
  <conditionalFormatting sqref="S10:S11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{6e2e58f7-fe6a-4762-93a9-566ca5cdf7ec}</x14:id>
        </ext>
      </extLst>
    </cfRule>
  </conditionalFormatting>
  <conditionalFormatting sqref="S12:S2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{ff02f8a1-a0ab-48ba-bc5d-837b4f090483}</x14:id>
        </ext>
      </extLst>
    </cfRule>
  </conditionalFormatting>
  <conditionalFormatting sqref="S23:S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{a4531ed6-7a23-45f2-be31-301bd5ea9251}</x14:id>
        </ext>
      </extLst>
    </cfRule>
  </conditionalFormatting>
  <conditionalFormatting sqref="S26:S2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{dd42d827-22d9-4a2d-8948-02763cac3774}</x14:id>
        </ext>
      </extLst>
    </cfRule>
  </conditionalFormatting>
  <conditionalFormatting sqref="T11:T12 T14">
    <cfRule type="dataBar" priority="4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hyperlinks>
    <hyperlink ref="N5" r:id="rId1" display="LCSC"/>
    <hyperlink ref="N6" r:id="rId2" display="LCSC"/>
    <hyperlink ref="N7" r:id="rId3" display="LCSC"/>
    <hyperlink ref="N10" r:id="rId4" display="LCSC"/>
    <hyperlink ref="N12" r:id="rId5" display="LCSC"/>
    <hyperlink ref="N14" r:id="rId6" display="LCSC"/>
    <hyperlink ref="N13" r:id="rId7" display="LCSC"/>
    <hyperlink ref="N21" r:id="rId8" display="LCSC"/>
    <hyperlink ref="N22" r:id="rId9" display="LCSC"/>
    <hyperlink ref="N23" r:id="rId10" display="LCSC"/>
    <hyperlink ref="N24" r:id="rId11" display="LCSC"/>
    <hyperlink ref="N26" r:id="rId12" display="LCSC"/>
    <hyperlink ref="N27" r:id="rId13" display="LCSC"/>
    <hyperlink ref="N3" r:id="rId14" display="LCSC"/>
    <hyperlink ref="N4" r:id="rId15" display="LCSC"/>
    <hyperlink ref="N8" r:id="rId16" display="LCSC"/>
    <hyperlink ref="N9" r:id="rId17" display="LCSC"/>
    <hyperlink ref="N17" r:id="rId18" display="LCSC"/>
    <hyperlink ref="N19" r:id="rId19" display="LCSC"/>
    <hyperlink ref="N15" r:id="rId20" display="LCSC"/>
    <hyperlink ref="N16" r:id="rId21" display="LCSC"/>
    <hyperlink ref="N18" r:id="rId22" display="LCSC"/>
    <hyperlink ref="N25" r:id="rId23" display="LCSC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ad634-21f4-47f8-9caf-3e33964ee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P5</xm:sqref>
        </x14:conditionalFormatting>
        <x14:conditionalFormatting xmlns:xm="http://schemas.microsoft.com/office/excel/2006/main">
          <x14:cfRule type="dataBar" id="{e82d952d-e01f-4b1e-88a2-b8f49a93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</xm:sqref>
        </x14:conditionalFormatting>
        <x14:conditionalFormatting xmlns:xm="http://schemas.microsoft.com/office/excel/2006/main">
          <x14:cfRule type="dataBar" id="{22c13d5c-4bf4-4b37-90e4-ebe21692e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0b329ca3-e34e-4aab-a503-7fd611db2f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  <x14:conditionalFormatting xmlns:xm="http://schemas.microsoft.com/office/excel/2006/main">
          <x14:cfRule type="dataBar" id="{6a42876f-f14c-4636-b38b-e24c555d0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P21</xm:sqref>
        </x14:conditionalFormatting>
        <x14:conditionalFormatting xmlns:xm="http://schemas.microsoft.com/office/excel/2006/main">
          <x14:cfRule type="dataBar" id="{158646a7-fb27-493b-a7ff-54d604bad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S21</xm:sqref>
        </x14:conditionalFormatting>
        <x14:conditionalFormatting xmlns:xm="http://schemas.microsoft.com/office/excel/2006/main">
          <x14:cfRule type="dataBar" id="{1136fb38-d2f8-4ea9-a367-22b6430b29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P22</xm:sqref>
        </x14:conditionalFormatting>
        <x14:conditionalFormatting xmlns:xm="http://schemas.microsoft.com/office/excel/2006/main">
          <x14:cfRule type="dataBar" id="{d4a5cf13-cf84-4591-9fcc-49ff52f9f1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S22</xm:sqref>
        </x14:conditionalFormatting>
        <x14:conditionalFormatting xmlns:xm="http://schemas.microsoft.com/office/excel/2006/main">
          <x14:cfRule type="dataBar" id="{235feb0c-ee6b-4a59-bd6e-7a0589e24a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O31</xm:sqref>
        </x14:conditionalFormatting>
        <x14:conditionalFormatting xmlns:xm="http://schemas.microsoft.com/office/excel/2006/main">
          <x14:cfRule type="dataBar" id="{682ecf16-2ac7-45c0-acde-784824b45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Q31</xm:sqref>
        </x14:conditionalFormatting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  <x14:conditionalFormatting xmlns:xm="http://schemas.microsoft.com/office/excel/2006/main">
          <x14:cfRule type="dataBar" id="{9387ee67-d922-4edd-9da9-92a432bdb3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P7:P9</xm:sqref>
        </x14:conditionalFormatting>
        <x14:conditionalFormatting xmlns:xm="http://schemas.microsoft.com/office/excel/2006/main">
          <x14:cfRule type="dataBar" id="{c4f90b74-b997-4150-b66d-3e2b67e9d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P10:P11</xm:sqref>
        </x14:conditionalFormatting>
        <x14:conditionalFormatting xmlns:xm="http://schemas.microsoft.com/office/excel/2006/main">
          <x14:cfRule type="dataBar" id="{9858b0c3-d0f8-40ab-a4eb-b7fa3cd44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P12:P20</xm:sqref>
        </x14:conditionalFormatting>
        <x14:conditionalFormatting xmlns:xm="http://schemas.microsoft.com/office/excel/2006/main">
          <x14:cfRule type="dataBar" id="{aa3267bb-7df4-4184-a49b-e7450b91d1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P23:P25</xm:sqref>
        </x14:conditionalFormatting>
        <x14:conditionalFormatting xmlns:xm="http://schemas.microsoft.com/office/excel/2006/main">
          <x14:cfRule type="dataBar" id="{bfab5b23-2bbb-4d00-9329-1fc3154f45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P26:P27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S3:S4</xm:sqref>
        </x14:conditionalFormatting>
        <x14:conditionalFormatting xmlns:xm="http://schemas.microsoft.com/office/excel/2006/main">
          <x14:cfRule type="dataBar" id="{85d471b6-7ba0-466d-8a61-5132ff9b9e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S7:S9</xm:sqref>
        </x14:conditionalFormatting>
        <x14:conditionalFormatting xmlns:xm="http://schemas.microsoft.com/office/excel/2006/main">
          <x14:cfRule type="dataBar" id="{6e2e58f7-fe6a-4762-93a9-566ca5cdf7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S10:S11</xm:sqref>
        </x14:conditionalFormatting>
        <x14:conditionalFormatting xmlns:xm="http://schemas.microsoft.com/office/excel/2006/main">
          <x14:cfRule type="dataBar" id="{ff02f8a1-a0ab-48ba-bc5d-837b4f0904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S12:S20</xm:sqref>
        </x14:conditionalFormatting>
        <x14:conditionalFormatting xmlns:xm="http://schemas.microsoft.com/office/excel/2006/main">
          <x14:cfRule type="dataBar" id="{a4531ed6-7a23-45f2-be31-301bd5ea92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S23:S25</xm:sqref>
        </x14:conditionalFormatting>
        <x14:conditionalFormatting xmlns:xm="http://schemas.microsoft.com/office/excel/2006/main">
          <x14:cfRule type="dataBar" id="{dd42d827-22d9-4a2d-8948-02763cac37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S26:S27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T11:T12 T14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eSpark-35</cp:lastModifiedBy>
  <dcterms:created xsi:type="dcterms:W3CDTF">2021-03-12T10:24:00Z</dcterms:created>
  <dcterms:modified xsi:type="dcterms:W3CDTF">2021-09-21T14:45:40Z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