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4400" windowHeight="1234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<sst xmlns="http://schemas.openxmlformats.org/spreadsheetml/2006/main" count="196" uniqueCount="133">
  <si>
    <t>Bill of Material (BOM) for  Martin Transmitter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</si>
  <si>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</si>
  <si>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</si>
  <si>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</si>
  <si>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</si>
  <si>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</si>
  <si>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</si>
  <si>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</si>
  <si>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LCSC Part no:</t>
  </si>
  <si>
    <t>Alternate</t>
  </si>
  <si>
    <t>Value</t>
  </si>
  <si>
    <t>Quantity (Per Board)</t>
  </si>
  <si>
    <t>Total MOQ</t>
  </si>
  <si>
    <t>Quantity 5</t>
  </si>
  <si>
    <t>LCSC Link</t>
  </si>
  <si>
    <t>Unit Cost(1)</t>
  </si>
  <si>
    <t>Total Cost(1)</t>
  </si>
  <si>
    <t>MOQ Total</t>
  </si>
  <si>
    <t>Unit Cost (5 Boards)</t>
  </si>
  <si>
    <t>Total Cost (5)</t>
  </si>
  <si>
    <t>Remarks</t>
  </si>
  <si>
    <t>Capacitors</t>
  </si>
  <si>
    <t xml:space="preserve">CAP CER 0.1UF 50V X7R 0603
</t>
  </si>
  <si>
    <t>C1, C2, C3, C4</t>
  </si>
  <si>
    <t>CAP-0603</t>
  </si>
  <si>
    <t>CL10B104KB8NNNL</t>
  </si>
  <si>
    <t xml:space="preserve">Samsung 
</t>
  </si>
  <si>
    <t>C913912</t>
  </si>
  <si>
    <t>-</t>
  </si>
  <si>
    <t>0.1uF</t>
  </si>
  <si>
    <t>LCSC</t>
  </si>
  <si>
    <t xml:space="preserve">CAP CER 1UF 25V X5R 0603
</t>
  </si>
  <si>
    <t>C5, C6</t>
  </si>
  <si>
    <t>CL10A105KA8NNNC</t>
  </si>
  <si>
    <t>C5673</t>
  </si>
  <si>
    <t>1uF</t>
  </si>
  <si>
    <t>LED</t>
  </si>
  <si>
    <t>LED GREEN CLEAR CHIP SMD</t>
  </si>
  <si>
    <t>D1, D2, D3, D4</t>
  </si>
  <si>
    <t>LED 0402</t>
  </si>
  <si>
    <t>XZVG68W-2</t>
  </si>
  <si>
    <t>SunLED</t>
  </si>
  <si>
    <t>C273602</t>
  </si>
  <si>
    <t xml:space="preserve">TJ-S1005SW4TGLC2G-A5
</t>
  </si>
  <si>
    <t>Mosfet</t>
  </si>
  <si>
    <t>MOSFET N-Channel 60V 0.115A SOT523</t>
  </si>
  <si>
    <t>Q1</t>
  </si>
  <si>
    <t>SOT-523</t>
  </si>
  <si>
    <t>2N7002T-7-F</t>
  </si>
  <si>
    <t xml:space="preserve">Diodes 
</t>
  </si>
  <si>
    <t>C139445</t>
  </si>
  <si>
    <t>Resistors</t>
  </si>
  <si>
    <t xml:space="preserve">RES SMD 10K OHM 5% 1/5W 0603
</t>
  </si>
  <si>
    <t>R4, R5, R6, R8, R11</t>
  </si>
  <si>
    <t>RES-0603</t>
  </si>
  <si>
    <t>CRGH0603J10K</t>
  </si>
  <si>
    <t>TE Connectivity</t>
  </si>
  <si>
    <t>C103210</t>
  </si>
  <si>
    <t>RTT03103JTP</t>
  </si>
  <si>
    <t>10K</t>
  </si>
  <si>
    <t>TRIMMER 10K OHM 0.1W J LEAD TOP</t>
  </si>
  <si>
    <t>R7</t>
  </si>
  <si>
    <t>Custom</t>
  </si>
  <si>
    <t>TC33X-2-103E</t>
  </si>
  <si>
    <t xml:space="preserve">Bourns Inc.
</t>
  </si>
  <si>
    <t>RES SMD 4.7K OHM 1% 1/10W 0603</t>
  </si>
  <si>
    <t>R9</t>
  </si>
  <si>
    <t>RC0603FR-074K7L</t>
  </si>
  <si>
    <t>YAGEO</t>
  </si>
  <si>
    <t>C99782</t>
  </si>
  <si>
    <t>4.7K</t>
  </si>
  <si>
    <t xml:space="preserve">RES 470K OHM 1% 1/10W 0603
</t>
  </si>
  <si>
    <t>R10</t>
  </si>
  <si>
    <t>RC0603FR-13470KL</t>
  </si>
  <si>
    <t>C103658</t>
  </si>
  <si>
    <t>RTT034703FTP</t>
  </si>
  <si>
    <t>470K</t>
  </si>
  <si>
    <t xml:space="preserve">RES SMD 560 OHM 1% 1/10W 0603
</t>
  </si>
  <si>
    <t>R12, R13, R14</t>
  </si>
  <si>
    <t>RC0603FR-07560RL</t>
  </si>
  <si>
    <t>C114629</t>
  </si>
  <si>
    <t>560R</t>
  </si>
  <si>
    <t>Sensor</t>
  </si>
  <si>
    <t>Vibration sensor</t>
  </si>
  <si>
    <t>S1</t>
  </si>
  <si>
    <t>SW-420</t>
  </si>
  <si>
    <t>Switch</t>
  </si>
  <si>
    <t>SWITCH TACTILE SPST-NO 0.05A 12V</t>
  </si>
  <si>
    <t>SW1, SW2</t>
  </si>
  <si>
    <t>B3U-1000P</t>
  </si>
  <si>
    <t xml:space="preserve">Omron </t>
  </si>
  <si>
    <t>C231329</t>
  </si>
  <si>
    <t>IC</t>
  </si>
  <si>
    <t>RX TXRX MOD WIFI TRACE ANT SMD</t>
  </si>
  <si>
    <t>U1</t>
  </si>
  <si>
    <t>ESP32-WROOM-32D (8MB)</t>
  </si>
  <si>
    <t xml:space="preserve">Espressif Systems
</t>
  </si>
  <si>
    <t>C529577</t>
  </si>
  <si>
    <t>IC ADC 12BIT SIGMA-DELTA 10VSSOP</t>
  </si>
  <si>
    <t>U2</t>
  </si>
  <si>
    <t xml:space="preserve">10-VSSOP
</t>
  </si>
  <si>
    <t>ADS1013IDGST</t>
  </si>
  <si>
    <t xml:space="preserve">Texas Instruments
</t>
  </si>
  <si>
    <t xml:space="preserve">IC COMP DUAL VOLT LP 8SOIC
</t>
  </si>
  <si>
    <t>U3</t>
  </si>
  <si>
    <t>8-SOIC</t>
  </si>
  <si>
    <t>LM393ADT</t>
  </si>
  <si>
    <t>STMicroelectronics</t>
  </si>
  <si>
    <t>C136033</t>
  </si>
  <si>
    <t xml:space="preserve">IC REG LINEAR 3.3V 1A 6DFN
</t>
  </si>
  <si>
    <t>U4</t>
  </si>
  <si>
    <t>6-DFN (3x3)</t>
  </si>
  <si>
    <t>NCP692MN33T2G</t>
  </si>
  <si>
    <t>onsemi</t>
  </si>
  <si>
    <t>C145519</t>
  </si>
  <si>
    <t>Connector</t>
  </si>
  <si>
    <t>CONN RCPT USB2.0 MICRO B SMD R/A</t>
  </si>
  <si>
    <t>J1</t>
  </si>
  <si>
    <t>10118194-0001LF</t>
  </si>
  <si>
    <t xml:space="preserve">Amphenol </t>
  </si>
  <si>
    <t>C132563</t>
  </si>
  <si>
    <t xml:space="preserve">CONN HEADER VERT 2POS 2.5MM
</t>
  </si>
  <si>
    <t>J2</t>
  </si>
  <si>
    <t>B2B-XH-A(LF)(SN)</t>
  </si>
  <si>
    <t xml:space="preserve">JST Sales America
</t>
  </si>
  <si>
    <t>C158012</t>
  </si>
  <si>
    <t>CONN HEADER VERT 4POS 2.5MM</t>
  </si>
  <si>
    <t>J3</t>
  </si>
  <si>
    <t>B4B-XH-A(LF)(SN)</t>
  </si>
  <si>
    <t>C144395</t>
  </si>
  <si>
    <t>Test Point ON</t>
  </si>
  <si>
    <t>P1, P2, P3, P4, P5</t>
  </si>
  <si>
    <t>TEST POINT</t>
  </si>
</sst>
</file>

<file path=xl/styles.xml><?xml version="1.0" encoding="utf-8"?>
<styleSheet xmlns="http://schemas.openxmlformats.org/spreadsheetml/2006/main">
  <numFmts count="6">
    <numFmt numFmtId="176" formatCode="_ * #,##0_ ;_ * \-#,##0_ ;_ * &quot;-&quot;_ ;_ @_ "/>
    <numFmt numFmtId="44" formatCode="_(&quot;$&quot;* #,##0.00_);_(&quot;$&quot;* \(#,##0.00\);_(&quot;$&quot;* &quot;-&quot;??_);_(@_)"/>
    <numFmt numFmtId="177" formatCode="&quot;$&quot;#,##0.00000"/>
    <numFmt numFmtId="42" formatCode="_(&quot;$&quot;* #,##0_);_(&quot;$&quot;* \(#,##0\);_(&quot;$&quot;* &quot;-&quot;_);_(@_)"/>
    <numFmt numFmtId="178" formatCode="_ * #,##0.00_ ;_ * \-#,##0.00_ ;_ * &quot;-&quot;??_ ;_ @_ "/>
    <numFmt numFmtId="179" formatCode="_-[$$-409]* #,##0.00_ ;_-[$$-409]* \-#,##0.00\ ;_-[$$-409]* &quot;-&quot;??_ ;_-@_ "/>
  </numFmts>
  <fonts count="30">
    <font>
      <sz val="11"/>
      <color theme="1"/>
      <name val="Calibri"/>
      <charset val="134"/>
      <scheme val="minor"/>
    </font>
    <font>
      <sz val="12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2"/>
      <name val="Calibri"/>
      <charset val="134"/>
      <scheme val="minor"/>
    </font>
    <font>
      <sz val="10"/>
      <color theme="1"/>
      <name val="Calibri"/>
      <charset val="134"/>
    </font>
    <font>
      <sz val="10"/>
      <color rgb="FF000000"/>
      <name val="Calibri"/>
      <charset val="134"/>
    </font>
    <font>
      <b/>
      <sz val="12"/>
      <color theme="1"/>
      <name val="Calibri"/>
      <charset val="134"/>
      <scheme val="minor"/>
    </font>
    <font>
      <u/>
      <sz val="10"/>
      <color theme="10"/>
      <name val="Calibri"/>
      <charset val="134"/>
    </font>
    <font>
      <sz val="10"/>
      <name val="Calibri"/>
      <charset val="134"/>
    </font>
    <font>
      <sz val="10"/>
      <color rgb="FFFF0000"/>
      <name val="Calibri"/>
      <charset val="134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006100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0"/>
      <color theme="10"/>
      <name val="Arial"/>
      <charset val="134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</fills>
  <borders count="2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17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top"/>
      <protection locked="0"/>
    </xf>
    <xf numFmtId="0" fontId="14" fillId="14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6" fillId="7" borderId="16" applyNumberFormat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0" fillId="15" borderId="20" applyNumberFormat="0" applyFont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1" fillId="0" borderId="18" applyNumberFormat="0" applyFill="0" applyAlignment="0" applyProtection="0">
      <alignment vertical="center"/>
    </xf>
    <xf numFmtId="0" fontId="22" fillId="0" borderId="1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8" fillId="9" borderId="17" applyNumberFormat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5" fillId="6" borderId="0" applyNumberFormat="0" applyBorder="0" applyAlignment="0" applyProtection="0"/>
    <xf numFmtId="0" fontId="11" fillId="4" borderId="15" applyNumberFormat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20" fillId="4" borderId="17" applyNumberFormat="0" applyAlignment="0" applyProtection="0">
      <alignment vertical="center"/>
    </xf>
    <xf numFmtId="0" fontId="28" fillId="0" borderId="22" applyNumberFormat="0" applyFill="0" applyAlignment="0" applyProtection="0">
      <alignment vertical="center"/>
    </xf>
    <xf numFmtId="0" fontId="26" fillId="0" borderId="21" applyNumberFormat="0" applyFill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17" fillId="33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</cellStyleXfs>
  <cellXfs count="4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5" fillId="0" borderId="8" xfId="0" applyFont="1" applyFill="1" applyBorder="1" applyAlignment="1">
      <alignment vertical="center"/>
    </xf>
    <xf numFmtId="0" fontId="5" fillId="0" borderId="8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4" fillId="0" borderId="9" xfId="0" applyFont="1" applyFill="1" applyBorder="1" applyAlignment="1">
      <alignment horizontal="center" vertical="center"/>
    </xf>
    <xf numFmtId="0" fontId="5" fillId="0" borderId="8" xfId="0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/>
    </xf>
    <xf numFmtId="0" fontId="5" fillId="0" borderId="8" xfId="0" applyFont="1" applyFill="1" applyBorder="1" applyAlignment="1">
      <alignment vertical="center" wrapText="1"/>
    </xf>
    <xf numFmtId="0" fontId="7" fillId="0" borderId="5" xfId="0" applyFont="1" applyFill="1" applyBorder="1" applyAlignment="1">
      <alignment horizontal="center" vertical="center"/>
    </xf>
    <xf numFmtId="0" fontId="7" fillId="0" borderId="10" xfId="0" applyFont="1" applyFill="1" applyBorder="1" applyAlignment="1">
      <alignment horizontal="center" vertical="center"/>
    </xf>
    <xf numFmtId="0" fontId="7" fillId="0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/>
    </xf>
    <xf numFmtId="0" fontId="8" fillId="3" borderId="8" xfId="7" applyFont="1" applyFill="1" applyBorder="1" applyAlignment="1" applyProtection="1">
      <alignment horizontal="center" vertical="center"/>
    </xf>
    <xf numFmtId="177" fontId="6" fillId="3" borderId="8" xfId="0" applyNumberFormat="1" applyFont="1" applyFill="1" applyBorder="1" applyAlignment="1">
      <alignment horizontal="center" vertical="center"/>
    </xf>
    <xf numFmtId="177" fontId="5" fillId="3" borderId="8" xfId="0" applyNumberFormat="1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/>
    </xf>
    <xf numFmtId="0" fontId="5" fillId="0" borderId="8" xfId="0" applyFont="1" applyBorder="1" applyAlignment="1">
      <alignment horizontal="center" vertical="center"/>
    </xf>
    <xf numFmtId="0" fontId="8" fillId="3" borderId="8" xfId="7" applyFont="1" applyFill="1" applyBorder="1" applyAlignment="1" applyProtection="1">
      <alignment horizontal="center" vertical="center"/>
    </xf>
    <xf numFmtId="0" fontId="9" fillId="3" borderId="8" xfId="0" applyFont="1" applyFill="1" applyBorder="1" applyAlignment="1"/>
    <xf numFmtId="0" fontId="5" fillId="3" borderId="8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177" fontId="6" fillId="3" borderId="8" xfId="0" applyNumberFormat="1" applyFont="1" applyFill="1" applyBorder="1" applyAlignment="1">
      <alignment horizontal="left" vertical="center"/>
    </xf>
    <xf numFmtId="177" fontId="6" fillId="3" borderId="8" xfId="0" applyNumberFormat="1" applyFont="1" applyFill="1" applyBorder="1" applyAlignment="1">
      <alignment horizontal="left" vertical="center" wrapText="1" indent="1"/>
    </xf>
    <xf numFmtId="179" fontId="10" fillId="3" borderId="8" xfId="0" applyNumberFormat="1" applyFont="1" applyFill="1" applyBorder="1" applyAlignment="1">
      <alignment horizontal="center" vertical="center"/>
    </xf>
    <xf numFmtId="179" fontId="9" fillId="3" borderId="8" xfId="0" applyNumberFormat="1" applyFont="1" applyFill="1" applyBorder="1" applyAlignment="1"/>
    <xf numFmtId="0" fontId="5" fillId="3" borderId="8" xfId="0" applyFont="1" applyFill="1" applyBorder="1"/>
    <xf numFmtId="0" fontId="5" fillId="0" borderId="8" xfId="0" applyFont="1" applyBorder="1"/>
    <xf numFmtId="0" fontId="5" fillId="0" borderId="8" xfId="0" applyFont="1" applyFill="1" applyBorder="1" applyAlignment="1" quotePrefix="1">
      <alignment horizontal="center" vertical="center"/>
    </xf>
    <xf numFmtId="0" fontId="5" fillId="0" borderId="8" xfId="0" applyFont="1" applyFill="1" applyBorder="1" applyAlignment="1" quotePrefix="1">
      <alignment horizontal="center" vertical="center" wrapText="1"/>
    </xf>
    <xf numFmtId="0" fontId="5" fillId="0" borderId="8" xfId="0" applyFont="1" applyFill="1" applyBorder="1" applyAlignment="1" quotePrefix="1">
      <alignment vertical="center"/>
    </xf>
    <xf numFmtId="0" fontId="5" fillId="0" borderId="8" xfId="0" applyFont="1" applyFill="1" applyBorder="1" applyAlignment="1" quotePrefix="1">
      <alignment vertical="center" wrapText="1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lcsc.com/product-detail/Tactile-Switches_Omron-Electronics-B3U-1000P_C231329.html" TargetMode="External"/><Relationship Id="rId8" Type="http://schemas.openxmlformats.org/officeDocument/2006/relationships/hyperlink" Target="https://www.lcsc.com/product-detail/Chip-Resistor-Surface-Mount_RALEC-RTT034703FTP_C103658.html" TargetMode="External"/><Relationship Id="rId7" Type="http://schemas.openxmlformats.org/officeDocument/2006/relationships/hyperlink" Target="https://www.lcsc.com/product-detail/Chip-Resistor-Surface-Mount_YAGEO-RC0603FR-07560RL_C114629.html" TargetMode="External"/><Relationship Id="rId6" Type="http://schemas.openxmlformats.org/officeDocument/2006/relationships/hyperlink" Target="https://www.lcsc.com/product-detail/Chip-Resistor-Surface-Mount_YAGEO-RC0603FR-074K7L_C99782.html" TargetMode="External"/><Relationship Id="rId5" Type="http://schemas.openxmlformats.org/officeDocument/2006/relationships/hyperlink" Target="https://www.lcsc.com/product-detail/Chip-Resistor-Surface-Mount_RALEC-RTT03103JTP_C103210.html" TargetMode="External"/><Relationship Id="rId4" Type="http://schemas.openxmlformats.org/officeDocument/2006/relationships/hyperlink" Target="https://www.lcsc.com/product-detail/MOSFETs_Diodes-Incorporated-2N7002T-7-F_C139445.html" TargetMode="External"/><Relationship Id="rId3" Type="http://schemas.openxmlformats.org/officeDocument/2006/relationships/hyperlink" Target="https://www.lcsc.com/product-detail/Light-Emitting-Diodes-span-style-background-color-ff0-LED-span_TOGIALED-TJ-S1005SW4TGLC2G-A5_C273602.html" TargetMode="External"/><Relationship Id="rId2" Type="http://schemas.openxmlformats.org/officeDocument/2006/relationships/hyperlink" Target="https://www.lcsc.com/product-detail/Multilayer-Ceramic-Capacitors-MLCC-SMD-SMT_Samsung-Electro-Mechanics-CL10A105KA8NNNC_C5673.html" TargetMode="External"/><Relationship Id="rId15" Type="http://schemas.openxmlformats.org/officeDocument/2006/relationships/hyperlink" Target="https://www.lcsc.com/product-detail/Wire-To-Board-Wire-To-Wire-Connector_JST-Sales-America-B4B-XH-A-LF-SN_C144395.html" TargetMode="External"/><Relationship Id="rId14" Type="http://schemas.openxmlformats.org/officeDocument/2006/relationships/hyperlink" Target="https://www.lcsc.com/product-detail/Wire-To-Board-Wire-To-Wire-Connector_JST-Sales-America-B2B-XH-A-LF-SN_C158012.html" TargetMode="External"/><Relationship Id="rId13" Type="http://schemas.openxmlformats.org/officeDocument/2006/relationships/hyperlink" Target="https://www.lcsc.com/product-detail/USB-Connectors_Amphenol-ICC-10118194-0001LF_C132563.html" TargetMode="External"/><Relationship Id="rId12" Type="http://schemas.openxmlformats.org/officeDocument/2006/relationships/hyperlink" Target="https://www.lcsc.com/product-detail/Linear-Voltage-Regulators-LDO_ON-Semiconductor-NCP692MN33T2G_C145519.html" TargetMode="External"/><Relationship Id="rId11" Type="http://schemas.openxmlformats.org/officeDocument/2006/relationships/hyperlink" Target="https://www.lcsc.com/product-detail/Comparators_STMicroelectronics-LM393ADT_C136033.html" TargetMode="External"/><Relationship Id="rId10" Type="http://schemas.openxmlformats.org/officeDocument/2006/relationships/hyperlink" Target="https://www.lcsc.com/product-detail/WiFi-Modules_Espressif-Systems-ESP32-WROOM-32D-8MB_C529577.html" TargetMode="External"/><Relationship Id="rId1" Type="http://schemas.openxmlformats.org/officeDocument/2006/relationships/hyperlink" Target="https://www.lcsc.com/product-detail/Multilayer-Ceramic-Capacitors-MLCC-SMD-SMT_Samsung-Electro-Mechanics-CL10B104KB8NNNL_C91391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1"/>
  <sheetViews>
    <sheetView tabSelected="1" workbookViewId="0">
      <selection activeCell="E28" sqref="E28"/>
    </sheetView>
  </sheetViews>
  <sheetFormatPr defaultColWidth="9" defaultRowHeight="15"/>
  <cols>
    <col min="1" max="1" width="6.71428571428571" customWidth="1"/>
    <col min="2" max="2" width="13.4285714285714" customWidth="1"/>
    <col min="3" max="3" width="38.8571428571429" customWidth="1"/>
    <col min="4" max="4" width="16.7142857142857" customWidth="1"/>
    <col min="5" max="5" width="20.5714285714286" customWidth="1"/>
    <col min="6" max="6" width="28.4285714285714" customWidth="1"/>
    <col min="7" max="7" width="17.5714285714286" customWidth="1"/>
    <col min="8" max="8" width="14.7142857142857" customWidth="1"/>
    <col min="9" max="9" width="21.7142857142857" customWidth="1"/>
    <col min="11" max="11" width="21.8571428571429" customWidth="1"/>
    <col min="12" max="12" width="12.5714285714286" customWidth="1"/>
    <col min="13" max="13" width="11.4285714285714" customWidth="1"/>
    <col min="14" max="14" width="12.8571428571429" customWidth="1"/>
    <col min="15" max="15" width="12.4285714285714" customWidth="1"/>
    <col min="16" max="17" width="13.4285714285714" customWidth="1"/>
    <col min="18" max="18" width="20.5714285714286" customWidth="1"/>
    <col min="19" max="19" width="14" customWidth="1"/>
    <col min="20" max="20" width="24.7142857142857" customWidth="1"/>
  </cols>
  <sheetData>
    <row r="1" ht="16.5" spans="1:20">
      <c r="A1" s="1" t="s">
        <v>0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1"/>
      <c r="R1" s="32"/>
      <c r="S1" s="2"/>
      <c r="T1" s="32"/>
    </row>
    <row r="2" ht="16.5" spans="1:20">
      <c r="A2" s="4" t="s">
        <v>1</v>
      </c>
      <c r="B2" s="5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21" t="s">
        <v>14</v>
      </c>
      <c r="O2" s="6" t="s">
        <v>15</v>
      </c>
      <c r="P2" s="6" t="s">
        <v>16</v>
      </c>
      <c r="Q2" s="6" t="s">
        <v>17</v>
      </c>
      <c r="R2" s="6" t="s">
        <v>18</v>
      </c>
      <c r="S2" s="33" t="s">
        <v>19</v>
      </c>
      <c r="T2" s="6" t="s">
        <v>20</v>
      </c>
    </row>
    <row r="3" ht="15.75" spans="1:20">
      <c r="A3" s="7">
        <v>1</v>
      </c>
      <c r="B3" s="8" t="s">
        <v>21</v>
      </c>
      <c r="C3" s="9" t="s">
        <v>22</v>
      </c>
      <c r="D3" s="40" t="s">
        <v>23</v>
      </c>
      <c r="E3" s="40" t="s">
        <v>24</v>
      </c>
      <c r="F3" s="40" t="s">
        <v>25</v>
      </c>
      <c r="G3" s="11" t="s">
        <v>26</v>
      </c>
      <c r="H3" s="12" t="s">
        <v>27</v>
      </c>
      <c r="I3" s="11" t="s">
        <v>28</v>
      </c>
      <c r="J3" s="41" t="s">
        <v>29</v>
      </c>
      <c r="K3" s="11">
        <v>4</v>
      </c>
      <c r="L3" s="22">
        <v>50</v>
      </c>
      <c r="M3" s="11">
        <f t="shared" ref="M3:M21" si="0">K3*5</f>
        <v>20</v>
      </c>
      <c r="N3" s="23" t="s">
        <v>30</v>
      </c>
      <c r="O3" s="24">
        <v>0.0063</v>
      </c>
      <c r="P3" s="25">
        <f>O3*K3</f>
        <v>0.0252</v>
      </c>
      <c r="Q3" s="25">
        <f>O3*L3</f>
        <v>0.315</v>
      </c>
      <c r="R3" s="24">
        <v>0.0063</v>
      </c>
      <c r="S3" s="25">
        <f>R3*M3</f>
        <v>0.126</v>
      </c>
      <c r="T3" s="34"/>
    </row>
    <row r="4" ht="15.75" spans="1:20">
      <c r="A4" s="7">
        <v>2</v>
      </c>
      <c r="B4" s="13"/>
      <c r="C4" s="9" t="s">
        <v>31</v>
      </c>
      <c r="D4" s="41" t="s">
        <v>32</v>
      </c>
      <c r="E4" s="41" t="s">
        <v>24</v>
      </c>
      <c r="F4" s="41" t="s">
        <v>33</v>
      </c>
      <c r="G4" s="11" t="s">
        <v>26</v>
      </c>
      <c r="H4" s="12" t="s">
        <v>34</v>
      </c>
      <c r="I4" s="11" t="s">
        <v>28</v>
      </c>
      <c r="J4" s="41" t="s">
        <v>35</v>
      </c>
      <c r="K4" s="11">
        <v>2</v>
      </c>
      <c r="L4" s="22">
        <v>50</v>
      </c>
      <c r="M4" s="11">
        <f t="shared" si="0"/>
        <v>10</v>
      </c>
      <c r="N4" s="23" t="s">
        <v>30</v>
      </c>
      <c r="O4" s="24">
        <v>0.0051</v>
      </c>
      <c r="P4" s="25">
        <f t="shared" ref="P4:P21" si="1">O4*K4</f>
        <v>0.0102</v>
      </c>
      <c r="Q4" s="25">
        <f t="shared" ref="Q4:Q21" si="2">O4*L4</f>
        <v>0.255</v>
      </c>
      <c r="R4" s="24">
        <v>0.0051</v>
      </c>
      <c r="S4" s="25">
        <f t="shared" ref="S4:S21" si="3">R4*M4</f>
        <v>0.051</v>
      </c>
      <c r="T4" s="34"/>
    </row>
    <row r="5" ht="16.5" spans="1:20">
      <c r="A5" s="7">
        <v>3</v>
      </c>
      <c r="B5" s="15" t="s">
        <v>36</v>
      </c>
      <c r="C5" s="42" t="s">
        <v>37</v>
      </c>
      <c r="D5" s="40" t="s">
        <v>38</v>
      </c>
      <c r="E5" s="40" t="s">
        <v>39</v>
      </c>
      <c r="F5" s="40" t="s">
        <v>40</v>
      </c>
      <c r="G5" s="11" t="s">
        <v>41</v>
      </c>
      <c r="H5" s="12" t="s">
        <v>42</v>
      </c>
      <c r="I5" s="11" t="s">
        <v>43</v>
      </c>
      <c r="J5" s="11" t="s">
        <v>28</v>
      </c>
      <c r="K5" s="11">
        <v>4</v>
      </c>
      <c r="L5" s="26">
        <v>30</v>
      </c>
      <c r="M5" s="11">
        <f t="shared" si="0"/>
        <v>20</v>
      </c>
      <c r="N5" s="23" t="s">
        <v>30</v>
      </c>
      <c r="O5" s="24">
        <v>0.0632</v>
      </c>
      <c r="P5" s="25">
        <f t="shared" si="1"/>
        <v>0.2528</v>
      </c>
      <c r="Q5" s="25">
        <f t="shared" si="2"/>
        <v>1.896</v>
      </c>
      <c r="R5" s="24">
        <v>0.0632</v>
      </c>
      <c r="S5" s="25">
        <f t="shared" si="3"/>
        <v>1.264</v>
      </c>
      <c r="T5" s="34"/>
    </row>
    <row r="6" ht="16.5" spans="1:20">
      <c r="A6" s="7">
        <v>4</v>
      </c>
      <c r="B6" s="16" t="s">
        <v>44</v>
      </c>
      <c r="C6" s="43" t="s">
        <v>45</v>
      </c>
      <c r="D6" s="41" t="s">
        <v>46</v>
      </c>
      <c r="E6" s="41" t="s">
        <v>47</v>
      </c>
      <c r="F6" s="41" t="s">
        <v>48</v>
      </c>
      <c r="G6" s="11" t="s">
        <v>49</v>
      </c>
      <c r="H6" s="12" t="s">
        <v>50</v>
      </c>
      <c r="I6" s="11" t="s">
        <v>28</v>
      </c>
      <c r="J6" s="11" t="s">
        <v>28</v>
      </c>
      <c r="K6" s="11">
        <v>1</v>
      </c>
      <c r="L6" s="22">
        <v>10</v>
      </c>
      <c r="M6" s="11">
        <f t="shared" si="0"/>
        <v>5</v>
      </c>
      <c r="N6" s="23" t="s">
        <v>30</v>
      </c>
      <c r="O6" s="24">
        <v>0.1124</v>
      </c>
      <c r="P6" s="25">
        <f t="shared" si="1"/>
        <v>0.1124</v>
      </c>
      <c r="Q6" s="25">
        <f t="shared" si="2"/>
        <v>1.124</v>
      </c>
      <c r="R6" s="24">
        <v>0.1124</v>
      </c>
      <c r="S6" s="25">
        <f t="shared" si="3"/>
        <v>0.562</v>
      </c>
      <c r="T6" s="34"/>
    </row>
    <row r="7" ht="15.75" spans="1:20">
      <c r="A7" s="7">
        <v>5</v>
      </c>
      <c r="B7" s="8" t="s">
        <v>51</v>
      </c>
      <c r="C7" s="9" t="s">
        <v>52</v>
      </c>
      <c r="D7" s="40" t="s">
        <v>53</v>
      </c>
      <c r="E7" s="41" t="s">
        <v>54</v>
      </c>
      <c r="F7" s="41" t="s">
        <v>55</v>
      </c>
      <c r="G7" s="11" t="s">
        <v>56</v>
      </c>
      <c r="H7" s="12" t="s">
        <v>57</v>
      </c>
      <c r="I7" s="11" t="s">
        <v>58</v>
      </c>
      <c r="J7" s="41" t="s">
        <v>59</v>
      </c>
      <c r="K7" s="14">
        <v>5</v>
      </c>
      <c r="L7" s="27">
        <v>100</v>
      </c>
      <c r="M7" s="11">
        <f t="shared" si="0"/>
        <v>25</v>
      </c>
      <c r="N7" s="23" t="s">
        <v>30</v>
      </c>
      <c r="O7" s="24">
        <v>0.0012</v>
      </c>
      <c r="P7" s="25">
        <f t="shared" si="1"/>
        <v>0.006</v>
      </c>
      <c r="Q7" s="25">
        <f t="shared" si="2"/>
        <v>0.12</v>
      </c>
      <c r="R7" s="24">
        <v>0.0012</v>
      </c>
      <c r="S7" s="25">
        <f t="shared" si="3"/>
        <v>0.03</v>
      </c>
      <c r="T7" s="34"/>
    </row>
    <row r="8" ht="15.75" spans="1:20">
      <c r="A8" s="7">
        <v>6</v>
      </c>
      <c r="B8" s="15"/>
      <c r="C8" s="43" t="s">
        <v>60</v>
      </c>
      <c r="D8" s="41" t="s">
        <v>61</v>
      </c>
      <c r="E8" s="14" t="s">
        <v>62</v>
      </c>
      <c r="F8" s="41" t="s">
        <v>63</v>
      </c>
      <c r="G8" s="11" t="s">
        <v>64</v>
      </c>
      <c r="H8" s="12"/>
      <c r="I8" s="11"/>
      <c r="J8" s="41" t="s">
        <v>59</v>
      </c>
      <c r="K8" s="14">
        <v>1</v>
      </c>
      <c r="L8" s="22"/>
      <c r="M8" s="11">
        <f t="shared" si="0"/>
        <v>5</v>
      </c>
      <c r="N8" s="23"/>
      <c r="O8" s="24"/>
      <c r="P8" s="25">
        <f t="shared" si="1"/>
        <v>0</v>
      </c>
      <c r="Q8" s="25">
        <f t="shared" si="2"/>
        <v>0</v>
      </c>
      <c r="R8" s="24"/>
      <c r="S8" s="25">
        <f t="shared" si="3"/>
        <v>0</v>
      </c>
      <c r="T8" s="34"/>
    </row>
    <row r="9" ht="15.75" spans="1:20">
      <c r="A9" s="7">
        <v>7</v>
      </c>
      <c r="B9" s="15"/>
      <c r="C9" s="43" t="s">
        <v>65</v>
      </c>
      <c r="D9" s="41" t="s">
        <v>66</v>
      </c>
      <c r="E9" s="41" t="s">
        <v>54</v>
      </c>
      <c r="F9" s="41" t="s">
        <v>67</v>
      </c>
      <c r="G9" s="11" t="s">
        <v>68</v>
      </c>
      <c r="H9" s="12" t="s">
        <v>69</v>
      </c>
      <c r="I9" s="11" t="s">
        <v>28</v>
      </c>
      <c r="J9" s="41" t="s">
        <v>70</v>
      </c>
      <c r="K9" s="14">
        <v>1</v>
      </c>
      <c r="L9" s="22">
        <v>100</v>
      </c>
      <c r="M9" s="11">
        <f t="shared" si="0"/>
        <v>5</v>
      </c>
      <c r="N9" s="23" t="s">
        <v>30</v>
      </c>
      <c r="O9" s="24">
        <v>0.0015</v>
      </c>
      <c r="P9" s="25">
        <f t="shared" si="1"/>
        <v>0.0015</v>
      </c>
      <c r="Q9" s="25">
        <f t="shared" si="2"/>
        <v>0.15</v>
      </c>
      <c r="R9" s="24">
        <v>0.0015</v>
      </c>
      <c r="S9" s="25">
        <f t="shared" si="3"/>
        <v>0.0075</v>
      </c>
      <c r="T9" s="34"/>
    </row>
    <row r="10" ht="15.75" spans="1:20">
      <c r="A10" s="7">
        <v>8</v>
      </c>
      <c r="B10" s="15"/>
      <c r="C10" s="9" t="s">
        <v>71</v>
      </c>
      <c r="D10" s="41" t="s">
        <v>72</v>
      </c>
      <c r="E10" s="41" t="s">
        <v>54</v>
      </c>
      <c r="F10" s="41" t="s">
        <v>73</v>
      </c>
      <c r="G10" s="11" t="s">
        <v>68</v>
      </c>
      <c r="H10" s="12" t="s">
        <v>74</v>
      </c>
      <c r="I10" s="12" t="s">
        <v>75</v>
      </c>
      <c r="J10" s="41" t="s">
        <v>76</v>
      </c>
      <c r="K10" s="14">
        <v>1</v>
      </c>
      <c r="L10" s="22">
        <v>100</v>
      </c>
      <c r="M10" s="11">
        <f t="shared" si="0"/>
        <v>5</v>
      </c>
      <c r="N10" s="23" t="s">
        <v>30</v>
      </c>
      <c r="O10" s="24">
        <v>0.0017</v>
      </c>
      <c r="P10" s="25">
        <f t="shared" si="1"/>
        <v>0.0017</v>
      </c>
      <c r="Q10" s="25">
        <f t="shared" si="2"/>
        <v>0.17</v>
      </c>
      <c r="R10" s="24">
        <v>0.0017</v>
      </c>
      <c r="S10" s="25">
        <f t="shared" si="3"/>
        <v>0.0085</v>
      </c>
      <c r="T10" s="34"/>
    </row>
    <row r="11" ht="15.75" spans="1:20">
      <c r="A11" s="7">
        <v>9</v>
      </c>
      <c r="B11" s="13"/>
      <c r="C11" s="9" t="s">
        <v>77</v>
      </c>
      <c r="D11" s="41" t="s">
        <v>78</v>
      </c>
      <c r="E11" s="41" t="s">
        <v>54</v>
      </c>
      <c r="F11" s="41" t="s">
        <v>79</v>
      </c>
      <c r="G11" s="11" t="s">
        <v>68</v>
      </c>
      <c r="H11" s="11" t="s">
        <v>80</v>
      </c>
      <c r="I11" s="11" t="s">
        <v>28</v>
      </c>
      <c r="J11" s="41" t="s">
        <v>81</v>
      </c>
      <c r="K11" s="14">
        <v>3</v>
      </c>
      <c r="L11" s="22">
        <v>100</v>
      </c>
      <c r="M11" s="11">
        <f t="shared" si="0"/>
        <v>15</v>
      </c>
      <c r="N11" s="23" t="s">
        <v>30</v>
      </c>
      <c r="O11" s="25">
        <v>0.002</v>
      </c>
      <c r="P11" s="25">
        <f t="shared" si="1"/>
        <v>0.006</v>
      </c>
      <c r="Q11" s="25">
        <f t="shared" si="2"/>
        <v>0.2</v>
      </c>
      <c r="R11" s="25">
        <v>0.002</v>
      </c>
      <c r="S11" s="25">
        <f t="shared" si="3"/>
        <v>0.03</v>
      </c>
      <c r="T11" s="25"/>
    </row>
    <row r="12" ht="16.5" spans="1:20">
      <c r="A12" s="7">
        <v>10</v>
      </c>
      <c r="B12" s="16" t="s">
        <v>82</v>
      </c>
      <c r="C12" s="43" t="s">
        <v>83</v>
      </c>
      <c r="D12" s="41" t="s">
        <v>84</v>
      </c>
      <c r="E12" s="14" t="s">
        <v>62</v>
      </c>
      <c r="F12" s="41" t="s">
        <v>85</v>
      </c>
      <c r="G12" s="11"/>
      <c r="H12" s="11"/>
      <c r="I12" s="11"/>
      <c r="J12" s="11" t="s">
        <v>28</v>
      </c>
      <c r="K12" s="11">
        <v>1</v>
      </c>
      <c r="L12" s="22"/>
      <c r="M12" s="11">
        <f t="shared" si="0"/>
        <v>5</v>
      </c>
      <c r="N12" s="28"/>
      <c r="O12" s="25"/>
      <c r="P12" s="25">
        <f t="shared" si="1"/>
        <v>0</v>
      </c>
      <c r="Q12" s="25">
        <f t="shared" si="2"/>
        <v>0</v>
      </c>
      <c r="R12" s="25"/>
      <c r="S12" s="25">
        <f t="shared" si="3"/>
        <v>0</v>
      </c>
      <c r="T12" s="25"/>
    </row>
    <row r="13" ht="16.5" spans="1:20">
      <c r="A13" s="7">
        <v>11</v>
      </c>
      <c r="B13" s="16" t="s">
        <v>86</v>
      </c>
      <c r="C13" s="43" t="s">
        <v>87</v>
      </c>
      <c r="D13" s="41" t="s">
        <v>88</v>
      </c>
      <c r="E13" s="14" t="s">
        <v>62</v>
      </c>
      <c r="F13" s="41" t="s">
        <v>89</v>
      </c>
      <c r="G13" s="11" t="s">
        <v>90</v>
      </c>
      <c r="H13" s="12" t="s">
        <v>91</v>
      </c>
      <c r="I13" s="11" t="s">
        <v>28</v>
      </c>
      <c r="J13" s="11" t="s">
        <v>28</v>
      </c>
      <c r="K13" s="11">
        <v>2</v>
      </c>
      <c r="L13" s="22">
        <v>12</v>
      </c>
      <c r="M13" s="11">
        <f t="shared" si="0"/>
        <v>10</v>
      </c>
      <c r="N13" s="23" t="s">
        <v>30</v>
      </c>
      <c r="O13" s="24">
        <v>0.4166</v>
      </c>
      <c r="P13" s="25">
        <f t="shared" si="1"/>
        <v>0.8332</v>
      </c>
      <c r="Q13" s="25">
        <f t="shared" si="2"/>
        <v>4.9992</v>
      </c>
      <c r="R13" s="25">
        <v>0.4166</v>
      </c>
      <c r="S13" s="25">
        <f t="shared" si="3"/>
        <v>4.166</v>
      </c>
      <c r="T13" s="35"/>
    </row>
    <row r="14" ht="15.75" spans="1:20">
      <c r="A14" s="7">
        <v>12</v>
      </c>
      <c r="B14" s="8" t="s">
        <v>92</v>
      </c>
      <c r="C14" s="43" t="s">
        <v>93</v>
      </c>
      <c r="D14" s="41" t="s">
        <v>94</v>
      </c>
      <c r="E14" s="14" t="s">
        <v>62</v>
      </c>
      <c r="F14" s="41" t="s">
        <v>95</v>
      </c>
      <c r="G14" s="11" t="s">
        <v>96</v>
      </c>
      <c r="H14" s="12" t="s">
        <v>97</v>
      </c>
      <c r="I14" s="11" t="s">
        <v>28</v>
      </c>
      <c r="J14" s="11" t="s">
        <v>28</v>
      </c>
      <c r="K14" s="14">
        <v>1</v>
      </c>
      <c r="L14" s="22">
        <v>7</v>
      </c>
      <c r="M14" s="11">
        <f t="shared" si="0"/>
        <v>5</v>
      </c>
      <c r="N14" s="23" t="s">
        <v>30</v>
      </c>
      <c r="O14" s="25">
        <v>5.1105</v>
      </c>
      <c r="P14" s="25">
        <f t="shared" si="1"/>
        <v>5.1105</v>
      </c>
      <c r="Q14" s="25">
        <f t="shared" si="2"/>
        <v>35.7735</v>
      </c>
      <c r="R14" s="25">
        <v>5.1105</v>
      </c>
      <c r="S14" s="25">
        <f t="shared" si="3"/>
        <v>25.5525</v>
      </c>
      <c r="T14" s="36"/>
    </row>
    <row r="15" ht="15.75" spans="1:20">
      <c r="A15" s="7">
        <v>13</v>
      </c>
      <c r="B15" s="15"/>
      <c r="C15" s="43" t="s">
        <v>98</v>
      </c>
      <c r="D15" s="41" t="s">
        <v>99</v>
      </c>
      <c r="E15" s="10" t="s">
        <v>100</v>
      </c>
      <c r="F15" s="41" t="s">
        <v>101</v>
      </c>
      <c r="G15" s="11" t="s">
        <v>102</v>
      </c>
      <c r="H15" s="12"/>
      <c r="I15" s="11"/>
      <c r="J15" s="11" t="s">
        <v>28</v>
      </c>
      <c r="K15" s="14">
        <v>1</v>
      </c>
      <c r="L15" s="22"/>
      <c r="M15" s="11">
        <f t="shared" si="0"/>
        <v>5</v>
      </c>
      <c r="N15" s="29"/>
      <c r="O15" s="29"/>
      <c r="P15" s="25">
        <f t="shared" si="1"/>
        <v>0</v>
      </c>
      <c r="Q15" s="25">
        <f t="shared" si="2"/>
        <v>0</v>
      </c>
      <c r="R15" s="37"/>
      <c r="S15" s="25">
        <f t="shared" si="3"/>
        <v>0</v>
      </c>
      <c r="T15" s="37"/>
    </row>
    <row r="16" ht="15.75" spans="1:20">
      <c r="A16" s="7">
        <v>14</v>
      </c>
      <c r="B16" s="15"/>
      <c r="C16" s="9" t="s">
        <v>103</v>
      </c>
      <c r="D16" s="41" t="s">
        <v>104</v>
      </c>
      <c r="E16" s="41" t="s">
        <v>105</v>
      </c>
      <c r="F16" s="41" t="s">
        <v>106</v>
      </c>
      <c r="G16" s="11" t="s">
        <v>107</v>
      </c>
      <c r="H16" s="12" t="s">
        <v>108</v>
      </c>
      <c r="I16" s="11" t="s">
        <v>28</v>
      </c>
      <c r="J16" s="11" t="s">
        <v>28</v>
      </c>
      <c r="K16" s="14">
        <v>1</v>
      </c>
      <c r="L16" s="22">
        <v>7</v>
      </c>
      <c r="M16" s="11">
        <f t="shared" si="0"/>
        <v>5</v>
      </c>
      <c r="N16" s="23" t="s">
        <v>30</v>
      </c>
      <c r="O16" s="25">
        <v>0.2512</v>
      </c>
      <c r="P16" s="25">
        <f t="shared" si="1"/>
        <v>0.2512</v>
      </c>
      <c r="Q16" s="25">
        <f t="shared" si="2"/>
        <v>1.7584</v>
      </c>
      <c r="R16" s="25">
        <v>0.2512</v>
      </c>
      <c r="S16" s="25">
        <f t="shared" si="3"/>
        <v>1.256</v>
      </c>
      <c r="T16" s="37"/>
    </row>
    <row r="17" ht="15.75" spans="1:20">
      <c r="A17" s="7">
        <v>15</v>
      </c>
      <c r="B17" s="13"/>
      <c r="C17" s="9" t="s">
        <v>109</v>
      </c>
      <c r="D17" s="41" t="s">
        <v>110</v>
      </c>
      <c r="E17" s="41" t="s">
        <v>111</v>
      </c>
      <c r="F17" s="41" t="s">
        <v>112</v>
      </c>
      <c r="G17" s="11" t="s">
        <v>113</v>
      </c>
      <c r="H17" s="12" t="s">
        <v>114</v>
      </c>
      <c r="I17" s="11" t="s">
        <v>28</v>
      </c>
      <c r="J17" s="11" t="s">
        <v>28</v>
      </c>
      <c r="K17" s="14">
        <v>1</v>
      </c>
      <c r="L17" s="22">
        <v>7</v>
      </c>
      <c r="M17" s="11">
        <f t="shared" si="0"/>
        <v>5</v>
      </c>
      <c r="N17" s="23" t="s">
        <v>30</v>
      </c>
      <c r="O17" s="25">
        <v>1.65</v>
      </c>
      <c r="P17" s="25">
        <f t="shared" si="1"/>
        <v>1.65</v>
      </c>
      <c r="Q17" s="25">
        <f t="shared" si="2"/>
        <v>11.55</v>
      </c>
      <c r="R17" s="25">
        <v>1.65</v>
      </c>
      <c r="S17" s="25">
        <f t="shared" si="3"/>
        <v>8.25</v>
      </c>
      <c r="T17" s="38"/>
    </row>
    <row r="18" ht="15.75" spans="1:20">
      <c r="A18" s="7">
        <v>16</v>
      </c>
      <c r="B18" s="18" t="s">
        <v>115</v>
      </c>
      <c r="C18" s="43" t="s">
        <v>116</v>
      </c>
      <c r="D18" s="41" t="s">
        <v>117</v>
      </c>
      <c r="E18" s="14" t="s">
        <v>62</v>
      </c>
      <c r="F18" s="41" t="s">
        <v>118</v>
      </c>
      <c r="G18" s="11" t="s">
        <v>119</v>
      </c>
      <c r="H18" s="12" t="s">
        <v>120</v>
      </c>
      <c r="I18" s="11" t="s">
        <v>28</v>
      </c>
      <c r="J18" s="11" t="s">
        <v>28</v>
      </c>
      <c r="K18" s="30">
        <v>1</v>
      </c>
      <c r="L18" s="22">
        <v>7</v>
      </c>
      <c r="M18" s="11">
        <f t="shared" si="0"/>
        <v>5</v>
      </c>
      <c r="N18" s="23" t="s">
        <v>30</v>
      </c>
      <c r="O18" s="25">
        <v>0.2242</v>
      </c>
      <c r="P18" s="25">
        <f t="shared" si="1"/>
        <v>0.2242</v>
      </c>
      <c r="Q18" s="25">
        <f t="shared" si="2"/>
        <v>1.5694</v>
      </c>
      <c r="R18" s="25">
        <v>0.2242</v>
      </c>
      <c r="S18" s="25">
        <f t="shared" si="3"/>
        <v>1.121</v>
      </c>
      <c r="T18" s="39"/>
    </row>
    <row r="19" ht="15.75" spans="1:20">
      <c r="A19" s="7">
        <v>17</v>
      </c>
      <c r="B19" s="19"/>
      <c r="C19" s="9" t="s">
        <v>121</v>
      </c>
      <c r="D19" s="40" t="s">
        <v>122</v>
      </c>
      <c r="E19" s="10" t="s">
        <v>62</v>
      </c>
      <c r="F19" s="40" t="s">
        <v>123</v>
      </c>
      <c r="G19" s="11" t="s">
        <v>124</v>
      </c>
      <c r="H19" s="12" t="s">
        <v>125</v>
      </c>
      <c r="I19" s="11" t="s">
        <v>28</v>
      </c>
      <c r="J19" s="11" t="s">
        <v>28</v>
      </c>
      <c r="K19" s="30">
        <v>1</v>
      </c>
      <c r="L19" s="22">
        <v>20</v>
      </c>
      <c r="M19" s="11">
        <f t="shared" si="0"/>
        <v>5</v>
      </c>
      <c r="N19" s="23" t="s">
        <v>30</v>
      </c>
      <c r="O19" s="25">
        <v>0.031</v>
      </c>
      <c r="P19" s="25">
        <f t="shared" si="1"/>
        <v>0.031</v>
      </c>
      <c r="Q19" s="25">
        <f t="shared" si="2"/>
        <v>0.62</v>
      </c>
      <c r="R19" s="25">
        <v>0.031</v>
      </c>
      <c r="S19" s="25">
        <f t="shared" si="3"/>
        <v>0.155</v>
      </c>
      <c r="T19" s="39"/>
    </row>
    <row r="20" ht="15.75" spans="1:20">
      <c r="A20" s="7">
        <v>18</v>
      </c>
      <c r="B20" s="19"/>
      <c r="C20" s="43" t="s">
        <v>126</v>
      </c>
      <c r="D20" s="41" t="s">
        <v>127</v>
      </c>
      <c r="E20" s="14" t="s">
        <v>62</v>
      </c>
      <c r="F20" s="41" t="s">
        <v>128</v>
      </c>
      <c r="G20" s="11" t="s">
        <v>124</v>
      </c>
      <c r="H20" s="12" t="s">
        <v>129</v>
      </c>
      <c r="I20" s="11" t="s">
        <v>28</v>
      </c>
      <c r="J20" s="11" t="s">
        <v>28</v>
      </c>
      <c r="K20" s="30">
        <v>1</v>
      </c>
      <c r="L20" s="22">
        <v>10</v>
      </c>
      <c r="M20" s="11">
        <f t="shared" si="0"/>
        <v>5</v>
      </c>
      <c r="N20" s="23" t="s">
        <v>30</v>
      </c>
      <c r="O20" s="25">
        <v>0.0496</v>
      </c>
      <c r="P20" s="25">
        <f t="shared" si="1"/>
        <v>0.0496</v>
      </c>
      <c r="Q20" s="25">
        <f t="shared" si="2"/>
        <v>0.496</v>
      </c>
      <c r="R20" s="25">
        <v>0.0496</v>
      </c>
      <c r="S20" s="25">
        <f t="shared" si="3"/>
        <v>0.248</v>
      </c>
      <c r="T20" s="39"/>
    </row>
    <row r="21" ht="15.75" spans="1:20">
      <c r="A21" s="7">
        <v>19</v>
      </c>
      <c r="B21" s="20"/>
      <c r="C21" s="43" t="s">
        <v>130</v>
      </c>
      <c r="D21" s="41" t="s">
        <v>131</v>
      </c>
      <c r="E21" s="14" t="s">
        <v>62</v>
      </c>
      <c r="F21" s="41" t="s">
        <v>132</v>
      </c>
      <c r="G21" s="11" t="s">
        <v>28</v>
      </c>
      <c r="H21" s="11" t="s">
        <v>28</v>
      </c>
      <c r="I21" s="11" t="s">
        <v>28</v>
      </c>
      <c r="J21" s="11" t="s">
        <v>28</v>
      </c>
      <c r="K21" s="30">
        <v>5</v>
      </c>
      <c r="L21" s="11" t="s">
        <v>28</v>
      </c>
      <c r="M21" s="11">
        <f t="shared" si="0"/>
        <v>25</v>
      </c>
      <c r="N21" s="11" t="s">
        <v>28</v>
      </c>
      <c r="O21" s="11" t="s">
        <v>28</v>
      </c>
      <c r="P21" s="11" t="s">
        <v>28</v>
      </c>
      <c r="Q21" s="11" t="s">
        <v>28</v>
      </c>
      <c r="R21" s="11" t="s">
        <v>28</v>
      </c>
      <c r="S21" s="11" t="s">
        <v>28</v>
      </c>
      <c r="T21" s="39"/>
    </row>
  </sheetData>
  <mergeCells count="5">
    <mergeCell ref="A1:R1"/>
    <mergeCell ref="B3:B4"/>
    <mergeCell ref="B7:B11"/>
    <mergeCell ref="B14:B17"/>
    <mergeCell ref="B18:B21"/>
  </mergeCells>
  <conditionalFormatting sqref="M3:M2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:P20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{cdb3d112-8688-489c-bd87-ba9c8af473f4}</x14:id>
        </ext>
      </extLst>
    </cfRule>
  </conditionalFormatting>
  <conditionalFormatting sqref="S3:S20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{397039e1-9e62-4ef1-a35c-9d6ca27cf6ff}</x14:id>
        </ext>
      </extLst>
    </cfRule>
  </conditionalFormatting>
  <conditionalFormatting sqref="T11:T12 T14">
    <cfRule type="dataBar" priority="2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{c48074dc-3e13-47aa-9721-310de81d0939}</x14:id>
        </ext>
      </extLst>
    </cfRule>
  </conditionalFormatting>
  <hyperlinks>
    <hyperlink ref="N3" r:id="rId1" display="LCSC"/>
    <hyperlink ref="N4" r:id="rId2" display="LCSC"/>
    <hyperlink ref="N5" r:id="rId3" display="LCSC"/>
    <hyperlink ref="N6" r:id="rId4" display="LCSC"/>
    <hyperlink ref="N7" r:id="rId5" display="LCSC"/>
    <hyperlink ref="N9" r:id="rId6" display="LCSC"/>
    <hyperlink ref="N11" r:id="rId7" display="LCSC"/>
    <hyperlink ref="N10" r:id="rId8" display="LCSC"/>
    <hyperlink ref="N13" r:id="rId9" display="LCSC"/>
    <hyperlink ref="N14" r:id="rId10" display="LCSC"/>
    <hyperlink ref="N16" r:id="rId11" display="LCSC"/>
    <hyperlink ref="N17" r:id="rId12" display="LCSC"/>
    <hyperlink ref="N18" r:id="rId13" display="LCSC"/>
    <hyperlink ref="N19" r:id="rId14" display="LCSC"/>
    <hyperlink ref="N20" r:id="rId15" display="LCSC"/>
  </hyperlinks>
  <pageMargins left="0.7" right="0.7" top="0.75" bottom="0.75" header="0.3" footer="0.3"/>
  <pageSetup paperSize="1" orientation="portrait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db3d112-8688-489c-bd87-ba9c8af473f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P3:P20</xm:sqref>
        </x14:conditionalFormatting>
        <x14:conditionalFormatting xmlns:xm="http://schemas.microsoft.com/office/excel/2006/main">
          <x14:cfRule type="dataBar" id="{397039e1-9e62-4ef1-a35c-9d6ca27cf6f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S3:S20</xm:sqref>
        </x14:conditionalFormatting>
        <x14:conditionalFormatting xmlns:xm="http://schemas.microsoft.com/office/excel/2006/main">
          <x14:cfRule type="dataBar" id="{c48074dc-3e13-47aa-9721-310de81d093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T11:T12 T14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eSpark-35</cp:lastModifiedBy>
  <dcterms:created xsi:type="dcterms:W3CDTF">2021-03-12T10:24:00Z</dcterms:created>
  <dcterms:modified xsi:type="dcterms:W3CDTF">2021-09-10T15:49:06Z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B13D033B18734AEEBFFA9A1F630D5B19</vt:lpwstr>
  </property>
  <property fmtid="{D5CDD505-2E9C-101B-9397-08002B2CF9AE}" pid="3" name="KSOProductBuildVer">
    <vt:lpwstr>1033-11.2.0.10265</vt:lpwstr>
  </property>
</Properties>
</file>