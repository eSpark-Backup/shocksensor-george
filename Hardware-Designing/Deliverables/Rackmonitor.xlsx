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95"/>
  </bookViews>
  <sheets>
    <sheet name="Rackmonitor" sheetId="1" r:id="rId1"/>
  </sheets>
  <definedNames>
    <definedName name="_xlnm.Print_Titles" localSheetId="0">Rackmonitor!#REF!</definedName>
  </definedNames>
  <calcPr calcId="144525"/>
</workbook>
</file>

<file path=xl/sharedStrings.xml><?xml version="1.0" encoding="utf-8"?>
<sst xmlns="http://schemas.openxmlformats.org/spreadsheetml/2006/main" count="198" uniqueCount="161">
  <si>
    <t>Bill of Material (BOM) for Shock Sensor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</si>
  <si>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</si>
  <si>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</si>
  <si>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</si>
  <si>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</si>
  <si>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</si>
  <si>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</si>
  <si>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</si>
  <si>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LCSC Part no:</t>
  </si>
  <si>
    <t>Alternate</t>
  </si>
  <si>
    <t>Value</t>
  </si>
  <si>
    <t>Quantity (Per Board)</t>
  </si>
  <si>
    <t>Total MOQ</t>
  </si>
  <si>
    <t>Quantity 5</t>
  </si>
  <si>
    <t>LCSC Link</t>
  </si>
  <si>
    <t>Unit Cost(1)</t>
  </si>
  <si>
    <t>Total Cost(1)</t>
  </si>
  <si>
    <t>MOQ Total</t>
  </si>
  <si>
    <t>Unit Cost (5 Boards)</t>
  </si>
  <si>
    <t>Total Cost (5)</t>
  </si>
  <si>
    <t>Remarks</t>
  </si>
  <si>
    <t>Capacitor</t>
  </si>
  <si>
    <t>CL10 Series 0603 0.1 uF 50 V ±10% Tolerance X7R Multilayer Ceramic Capacitor, CAP CER 0.1UF 50V X7R 0603</t>
  </si>
  <si>
    <t>C1, C2, C3, C4, C11, C13</t>
  </si>
  <si>
    <t>CAP-0603</t>
  </si>
  <si>
    <t>CL10B104KB8NNNL</t>
  </si>
  <si>
    <t>Samsung</t>
  </si>
  <si>
    <t>C913912</t>
  </si>
  <si>
    <t>CC0603KRX7R9BB104</t>
  </si>
  <si>
    <t>0.1uF</t>
  </si>
  <si>
    <t>LCSC</t>
  </si>
  <si>
    <t>Ceramic capacitor SMD-0603 1000nF/25V X7R# K +-10%, Samsung, RoHS</t>
  </si>
  <si>
    <t>C5, C6</t>
  </si>
  <si>
    <t>CL10A105KA8NNNC</t>
  </si>
  <si>
    <t>C5673</t>
  </si>
  <si>
    <t>1uF</t>
  </si>
  <si>
    <t>CAP CER 4.7UF 25V X5R 0603</t>
  </si>
  <si>
    <t>C10, C12</t>
  </si>
  <si>
    <t>GRM188R61E475KE11D</t>
  </si>
  <si>
    <t>Murata</t>
  </si>
  <si>
    <t>C90057</t>
  </si>
  <si>
    <t>4.7uF</t>
  </si>
  <si>
    <t>LED</t>
  </si>
  <si>
    <t>LED GREEN CLEAR CHIP SMD</t>
  </si>
  <si>
    <t>D1, D2, D3, D4</t>
  </si>
  <si>
    <t>LED 0402</t>
  </si>
  <si>
    <t>XZVG68W-2</t>
  </si>
  <si>
    <t>SunLED</t>
  </si>
  <si>
    <t>C273602</t>
  </si>
  <si>
    <t>TJ-S1005SW4TGLC2G-A5</t>
  </si>
  <si>
    <t>Mosefet</t>
  </si>
  <si>
    <t>MOSFET N-Channel 60V 0.115A SOT523</t>
  </si>
  <si>
    <t>Q1</t>
  </si>
  <si>
    <t>SOT-523</t>
  </si>
  <si>
    <t>2N7002T-7-F</t>
  </si>
  <si>
    <t>Diodes</t>
  </si>
  <si>
    <t>C139445</t>
  </si>
  <si>
    <t>Trans GP BJT NPN 40V 0.6A 3-Pin SOT-23 T/R</t>
  </si>
  <si>
    <t>Q2, Q3</t>
  </si>
  <si>
    <t>sot-23</t>
  </si>
  <si>
    <t>MMBT2222A-7-F</t>
  </si>
  <si>
    <t>C94515</t>
  </si>
  <si>
    <t>Resistor</t>
  </si>
  <si>
    <t>Surface Mount Thick Film Resistor, CRG Series, 10 kohm, 200 mW, - 5%, 50 V, 0603 [1608 Metric] ;RoHS Compliant: Yes</t>
  </si>
  <si>
    <t>R6, R8, R11, R15, R16</t>
  </si>
  <si>
    <t>RES-0603</t>
  </si>
  <si>
    <t>CRGH0603J10K</t>
  </si>
  <si>
    <t>TE Connectivity Holsworthy</t>
  </si>
  <si>
    <t>C103210</t>
  </si>
  <si>
    <t>RTT03103JTP</t>
  </si>
  <si>
    <t>10K</t>
  </si>
  <si>
    <t>TRIMMER 10K OHM 0.1W J LEAD TOP</t>
  </si>
  <si>
    <t>R7</t>
  </si>
  <si>
    <t>TC33X-2-103E</t>
  </si>
  <si>
    <t>Bourns</t>
  </si>
  <si>
    <t>RES SMD 4.7K OHM 1% 1/10W 0603</t>
  </si>
  <si>
    <t>R9, R26</t>
  </si>
  <si>
    <t>RC0603FR-074K7L</t>
  </si>
  <si>
    <t>Yageo</t>
  </si>
  <si>
    <t>C99782</t>
  </si>
  <si>
    <t>4.7K</t>
  </si>
  <si>
    <t>Thick Film Resistors - SMD 470K OHM 1%</t>
  </si>
  <si>
    <t>R10</t>
  </si>
  <si>
    <t>RC0603FR-13470KL</t>
  </si>
  <si>
    <t>C103658</t>
  </si>
  <si>
    <t>RTT034703FTP</t>
  </si>
  <si>
    <t>470K</t>
  </si>
  <si>
    <t>YAGEO - RC0603FR-07560RL - SMD Chip Resistor, 0603 [1608 Metric], 560 ohm, RC Series, 75 V, Thick Film, 100 mW</t>
  </si>
  <si>
    <t>R12, R13, R14</t>
  </si>
  <si>
    <t>RC0603FR-07560RL</t>
  </si>
  <si>
    <t>C114629</t>
  </si>
  <si>
    <t>560R</t>
  </si>
  <si>
    <t>RES 1K OHM 5% 1/10W 0603</t>
  </si>
  <si>
    <t>R18</t>
  </si>
  <si>
    <t>RMCF0603JJ1K00</t>
  </si>
  <si>
    <t>Stackpole Electronics</t>
  </si>
  <si>
    <t>1K</t>
  </si>
  <si>
    <t>RES SMD 22.1K OHM 1% 1/10W 0603</t>
  </si>
  <si>
    <t>R19</t>
  </si>
  <si>
    <t>ERJ-3EKF2212V</t>
  </si>
  <si>
    <t>Panasonic</t>
  </si>
  <si>
    <t>22.1K</t>
  </si>
  <si>
    <t>Res Thick Film 0603 47.5K Ohm 1% 0.1W(1/10W) ±100ppm/C Epoxy SMD T/R</t>
  </si>
  <si>
    <t>R20</t>
  </si>
  <si>
    <t>RC0603FR-0747K5L</t>
  </si>
  <si>
    <t>47.5K</t>
  </si>
  <si>
    <t>RES SMD 0 OHM JUMPER 1/10W 0603</t>
  </si>
  <si>
    <t>R21</t>
  </si>
  <si>
    <t>RC0603JR-070RP</t>
  </si>
  <si>
    <t>0R</t>
  </si>
  <si>
    <t>Res Thick Film 0603 100K Ohm 5% 1/10W 100ppm/C Molded SMD SMD Paper T/R</t>
  </si>
  <si>
    <t>R22, R23, R24, R25</t>
  </si>
  <si>
    <t>RC0603JR-07100KL</t>
  </si>
  <si>
    <t>100K</t>
  </si>
  <si>
    <t>Sensor</t>
  </si>
  <si>
    <t>Vibration sensor</t>
  </si>
  <si>
    <t>S1</t>
  </si>
  <si>
    <t>SW-420</t>
  </si>
  <si>
    <t>Switch</t>
  </si>
  <si>
    <t>SWITCH TACTILE SPST-NO 0.05A 12V</t>
  </si>
  <si>
    <t>SW1, SW2</t>
  </si>
  <si>
    <t>B3U-1000P</t>
  </si>
  <si>
    <t>Omron</t>
  </si>
  <si>
    <t>ICs</t>
  </si>
  <si>
    <t>RX TXRX MOD WIFI TRACE ANT SMD</t>
  </si>
  <si>
    <t>U1</t>
  </si>
  <si>
    <t>ESP32-WROOM-32D (8MB)</t>
  </si>
  <si>
    <t>Espressif Systems</t>
  </si>
  <si>
    <t>STMICROELECTRONICS - LM393ADT - Analogue Comparator, Low Power, 2 Comparators, 300 ns, 2V to 36V, ± 1V to ± 18V, SOIC, 8 Pins</t>
  </si>
  <si>
    <t>U3</t>
  </si>
  <si>
    <t>8-SOIC</t>
  </si>
  <si>
    <t>LM393ADT</t>
  </si>
  <si>
    <t>STMicroelectronics</t>
  </si>
  <si>
    <t>ON Semiconductor NCP692MN33T2G, LDO Voltage Regulator, 1A, 3.3 V 2%, 1.5  6 Vin, 6-Pin DFN</t>
  </si>
  <si>
    <t>U4</t>
  </si>
  <si>
    <t>6-DFN (3x3)</t>
  </si>
  <si>
    <t>NCP692MN33T2G</t>
  </si>
  <si>
    <t>ON Semiconductor</t>
  </si>
  <si>
    <t>IC USB TO UART BRIDGE QFN24</t>
  </si>
  <si>
    <t>U5</t>
  </si>
  <si>
    <t>CP2102N-A02-GQFN24R</t>
  </si>
  <si>
    <t>Silicon Labs</t>
  </si>
  <si>
    <t>DIODES INC. - BSS8402DW-7-F - Dual MOSFET, N and P Channel, 115 mA, 60 V, 13.5 ohm, 10 V, 2.5 V</t>
  </si>
  <si>
    <t>U6</t>
  </si>
  <si>
    <t>SOT-363</t>
  </si>
  <si>
    <t>BSS8402DW-7-F</t>
  </si>
  <si>
    <t>Connector</t>
  </si>
  <si>
    <t>CONN RCPT USB2.0 MICRO B SMD R/A</t>
  </si>
  <si>
    <t>J1</t>
  </si>
  <si>
    <t>10118194-0001LF</t>
  </si>
  <si>
    <t>Amphenol FCI</t>
  </si>
  <si>
    <t>Conn Shrouded Header (4 Sides) HDR 2 POS 2.5mm Solder ST Thru-Hole Box</t>
  </si>
  <si>
    <t>J2</t>
  </si>
  <si>
    <t>B2B-XH-A(LF)(SN)</t>
  </si>
  <si>
    <t>JST</t>
  </si>
  <si>
    <t>Test Point ON</t>
  </si>
  <si>
    <t>P1, P2, P3, P4, P5</t>
  </si>
  <si>
    <t>TEST POINT</t>
  </si>
  <si>
    <t>Solder Bridge ON</t>
  </si>
  <si>
    <t>SB1</t>
  </si>
  <si>
    <t>Solder Bridge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</si>
</sst>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6">
    <font>
      <sz val="11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u/>
      <sz val="12"/>
      <color rgb="FF1166DD"/>
      <name val="Arial"/>
      <charset val="134"/>
    </font>
    <font>
      <sz val="12"/>
      <color rgb="FF333333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9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17" borderId="18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0" fillId="18" borderId="19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26" borderId="21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4" fillId="29" borderId="22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3" fillId="29" borderId="21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5" fillId="4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0" fillId="4" borderId="0" xfId="0" applyFill="1">
      <alignment vertical="center"/>
    </xf>
    <xf numFmtId="0" fontId="0" fillId="0" borderId="7" xfId="0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7" fillId="0" borderId="0" xfId="7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2" borderId="1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0" fillId="0" borderId="5" xfId="0" applyBorder="1" applyAlignment="1" quotePrefix="1">
      <alignment vertical="center"/>
    </xf>
    <xf numFmtId="0" fontId="0" fillId="0" borderId="8" xfId="0" applyBorder="1" applyAlignment="1" quotePrefix="1">
      <alignment vertical="center"/>
    </xf>
    <xf numFmtId="0" fontId="0" fillId="0" borderId="6" xfId="0" applyBorder="1" applyAlignment="1" quotePrefix="1">
      <alignment vertical="center"/>
    </xf>
    <xf numFmtId="0" fontId="0" fillId="0" borderId="10" xfId="0" applyBorder="1" applyAlignment="1" quotePrefix="1">
      <alignment vertical="center"/>
    </xf>
    <xf numFmtId="0" fontId="0" fillId="0" borderId="7" xfId="0" applyBorder="1" applyAlignment="1" quotePrefix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csc.com/product-detail/Chip-Resistor-Surface-Mount_RALEC-RTT034703FTP_C103658.html" TargetMode="External"/><Relationship Id="rId8" Type="http://schemas.openxmlformats.org/officeDocument/2006/relationships/hyperlink" Target="https://www.lcsc.com/product-detail/Chip-Resistor-Surface-Mount_YAGEO-RC0603FR-074K7L_C99782.html" TargetMode="External"/><Relationship Id="rId7" Type="http://schemas.openxmlformats.org/officeDocument/2006/relationships/hyperlink" Target="https://www.lcsc.com/product-detail/Chip-Resistor-Surface-Mount_RALEC-RTT03103JTP_C103210.html" TargetMode="External"/><Relationship Id="rId6" Type="http://schemas.openxmlformats.org/officeDocument/2006/relationships/hyperlink" Target="https://www.lcsc.com/product-detail/Bipolar-Transistors-BJT_Diodes-Incorporated-MMBT2222A-7-F_C94515.html" TargetMode="External"/><Relationship Id="rId5" Type="http://schemas.openxmlformats.org/officeDocument/2006/relationships/hyperlink" Target="https://www.lcsc.com/product-detail/MOSFETs_Diodes-Incorporated-2N7002T-7-F_C139445.html" TargetMode="External"/><Relationship Id="rId4" Type="http://schemas.openxmlformats.org/officeDocument/2006/relationships/hyperlink" Target="https://www.lcsc.com/product-detail/Light-Emitting-Diodes-LED_TOGIALED-TJ-S1005SW4TGLC2G-A5_C273602.html" TargetMode="External"/><Relationship Id="rId3" Type="http://schemas.openxmlformats.org/officeDocument/2006/relationships/hyperlink" Target="https://www.lcsc.com/product-detail/Multilayer-Ceramic-Capacitors-MLCC-SMD-SMT_Murata-Electronics-GRM188R61E475KE11D_C90057.html" TargetMode="External"/><Relationship Id="rId2" Type="http://schemas.openxmlformats.org/officeDocument/2006/relationships/hyperlink" Target="https://www.lcsc.com/product-detail/Multilayer-Ceramic-Capacitors-MLCC-SMD-SMT_Samsung-Electro-Mechanics-CL10A105KA8NNNC_C5673.html" TargetMode="External"/><Relationship Id="rId10" Type="http://schemas.openxmlformats.org/officeDocument/2006/relationships/hyperlink" Target="https://www.lcsc.com/product-detail/Chip-Resistor-Surface-Mount_YAGEO-RC0603FR-07560RL_C114629.html" TargetMode="External"/><Relationship Id="rId1" Type="http://schemas.openxmlformats.org/officeDocument/2006/relationships/hyperlink" Target="https://www.lcsc.com/product-detail/Multilayer-Ceramic-Capacitors-MLCC-SMD-SMT_YAGEO-CC0603KRX7R9BB104_C1466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29"/>
  <sheetViews>
    <sheetView tabSelected="1" topLeftCell="G2" workbookViewId="0">
      <selection activeCell="P25" sqref="H14 P13 P25"/>
    </sheetView>
  </sheetViews>
  <sheetFormatPr defaultColWidth="9.14285714285714" defaultRowHeight="15"/>
  <cols>
    <col min="1" max="1" width="7.28571428571429" customWidth="1"/>
    <col min="2" max="2" width="19.6761904761905" customWidth="1"/>
    <col min="3" max="3" width="74.2857142857143" customWidth="1"/>
    <col min="4" max="5" width="19.6761904761905" customWidth="1"/>
    <col min="6" max="6" width="30.7142857142857" customWidth="1"/>
    <col min="7" max="7" width="26.5714285714286" customWidth="1"/>
    <col min="8" max="8" width="15" customWidth="1"/>
    <col min="9" max="9" width="28" customWidth="1"/>
    <col min="11" max="11" width="23.4285714285714" customWidth="1"/>
    <col min="12" max="12" width="12.5714285714286" customWidth="1"/>
    <col min="13" max="13" width="12.2857142857143" customWidth="1"/>
    <col min="14" max="14" width="10.5714285714286" customWidth="1"/>
    <col min="15" max="15" width="13.4285714285714" customWidth="1"/>
    <col min="16" max="16" width="14.2857142857143" customWidth="1"/>
    <col min="17" max="17" width="12.5714285714286" customWidth="1"/>
    <col min="18" max="18" width="22.1428571428571" customWidth="1"/>
  </cols>
  <sheetData>
    <row r="1" ht="16.5" spans="1:2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5"/>
    </row>
    <row r="2" ht="16.5" spans="1:20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17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26" t="s">
        <v>19</v>
      </c>
      <c r="T2" s="5" t="s">
        <v>20</v>
      </c>
    </row>
    <row r="3" spans="1:18">
      <c r="A3">
        <v>1</v>
      </c>
      <c r="B3" s="6" t="s">
        <v>21</v>
      </c>
      <c r="C3" s="27" t="s">
        <v>22</v>
      </c>
      <c r="D3" s="27" t="s">
        <v>23</v>
      </c>
      <c r="E3" s="27" t="s">
        <v>24</v>
      </c>
      <c r="F3" s="27" t="s">
        <v>25</v>
      </c>
      <c r="G3" s="8" t="s">
        <v>26</v>
      </c>
      <c r="H3" s="9" t="s">
        <v>27</v>
      </c>
      <c r="I3" s="14" t="s">
        <v>28</v>
      </c>
      <c r="J3" s="28" t="s">
        <v>29</v>
      </c>
      <c r="K3" s="19">
        <v>6</v>
      </c>
      <c r="L3">
        <v>100</v>
      </c>
      <c r="M3">
        <f>K3*5</f>
        <v>30</v>
      </c>
      <c r="N3" s="20" t="s">
        <v>30</v>
      </c>
      <c r="O3" s="14">
        <v>0.003</v>
      </c>
      <c r="R3" s="14">
        <v>0.003</v>
      </c>
    </row>
    <row r="4" spans="1:18">
      <c r="A4">
        <f>A3+1</f>
        <v>2</v>
      </c>
      <c r="B4" s="6"/>
      <c r="C4" s="29" t="s">
        <v>31</v>
      </c>
      <c r="D4" s="29" t="s">
        <v>32</v>
      </c>
      <c r="E4" s="29" t="s">
        <v>24</v>
      </c>
      <c r="F4" s="29" t="s">
        <v>33</v>
      </c>
      <c r="G4" s="8" t="s">
        <v>26</v>
      </c>
      <c r="H4" s="9" t="s">
        <v>34</v>
      </c>
      <c r="J4" s="30" t="s">
        <v>35</v>
      </c>
      <c r="K4" s="22">
        <v>2</v>
      </c>
      <c r="L4">
        <v>50</v>
      </c>
      <c r="M4">
        <f t="shared" ref="M4:M29" si="0">K4*5</f>
        <v>10</v>
      </c>
      <c r="N4" s="20" t="s">
        <v>30</v>
      </c>
      <c r="O4" s="14">
        <v>0.0051</v>
      </c>
      <c r="R4" s="14">
        <v>0.0051</v>
      </c>
    </row>
    <row r="5" spans="1:18">
      <c r="A5">
        <f t="shared" ref="A5:A29" si="1">A4+1</f>
        <v>3</v>
      </c>
      <c r="B5" s="6"/>
      <c r="C5" s="29" t="s">
        <v>36</v>
      </c>
      <c r="D5" s="29" t="s">
        <v>37</v>
      </c>
      <c r="E5" s="29" t="s">
        <v>24</v>
      </c>
      <c r="F5" s="29" t="s">
        <v>38</v>
      </c>
      <c r="G5" s="11" t="s">
        <v>39</v>
      </c>
      <c r="H5" s="12" t="s">
        <v>40</v>
      </c>
      <c r="J5" s="30" t="s">
        <v>41</v>
      </c>
      <c r="K5" s="22">
        <v>2</v>
      </c>
      <c r="L5">
        <v>20</v>
      </c>
      <c r="M5">
        <f t="shared" si="0"/>
        <v>10</v>
      </c>
      <c r="N5" s="20" t="s">
        <v>30</v>
      </c>
      <c r="O5" s="14">
        <v>0.0576</v>
      </c>
      <c r="R5" s="14">
        <v>0.0576</v>
      </c>
    </row>
    <row r="6" ht="30" spans="1:18">
      <c r="A6">
        <f t="shared" si="1"/>
        <v>4</v>
      </c>
      <c r="B6" s="13" t="s">
        <v>42</v>
      </c>
      <c r="C6" s="29" t="s">
        <v>43</v>
      </c>
      <c r="D6" s="29" t="s">
        <v>44</v>
      </c>
      <c r="E6" s="29" t="s">
        <v>45</v>
      </c>
      <c r="F6" s="29" t="s">
        <v>46</v>
      </c>
      <c r="G6" t="s">
        <v>47</v>
      </c>
      <c r="H6" s="14" t="s">
        <v>48</v>
      </c>
      <c r="I6" s="12" t="s">
        <v>49</v>
      </c>
      <c r="J6" s="21"/>
      <c r="K6" s="22">
        <v>4</v>
      </c>
      <c r="L6">
        <v>30</v>
      </c>
      <c r="M6">
        <f t="shared" si="0"/>
        <v>20</v>
      </c>
      <c r="N6" s="20" t="s">
        <v>30</v>
      </c>
      <c r="O6" s="14">
        <v>0.0632</v>
      </c>
      <c r="R6" s="14">
        <v>0.0632</v>
      </c>
    </row>
    <row r="7" spans="1:18">
      <c r="A7">
        <f t="shared" si="1"/>
        <v>5</v>
      </c>
      <c r="B7" s="13" t="s">
        <v>50</v>
      </c>
      <c r="C7" s="29" t="s">
        <v>51</v>
      </c>
      <c r="D7" s="29" t="s">
        <v>52</v>
      </c>
      <c r="E7" s="29" t="s">
        <v>53</v>
      </c>
      <c r="F7" s="29" t="s">
        <v>54</v>
      </c>
      <c r="G7" t="s">
        <v>55</v>
      </c>
      <c r="H7" s="14" t="s">
        <v>56</v>
      </c>
      <c r="I7" s="15"/>
      <c r="J7" s="21"/>
      <c r="K7" s="22">
        <v>1</v>
      </c>
      <c r="L7">
        <v>10</v>
      </c>
      <c r="M7">
        <f t="shared" si="0"/>
        <v>5</v>
      </c>
      <c r="N7" s="20" t="s">
        <v>30</v>
      </c>
      <c r="O7" s="14">
        <v>0.1124</v>
      </c>
      <c r="R7" s="14">
        <v>0.1124</v>
      </c>
    </row>
    <row r="8" spans="1:18">
      <c r="A8">
        <f t="shared" si="1"/>
        <v>6</v>
      </c>
      <c r="B8" s="13"/>
      <c r="C8" s="29" t="s">
        <v>57</v>
      </c>
      <c r="D8" s="29" t="s">
        <v>58</v>
      </c>
      <c r="E8" s="29" t="s">
        <v>59</v>
      </c>
      <c r="F8" s="29" t="s">
        <v>60</v>
      </c>
      <c r="G8" t="s">
        <v>55</v>
      </c>
      <c r="H8" s="14" t="s">
        <v>61</v>
      </c>
      <c r="J8" s="21"/>
      <c r="K8" s="22">
        <v>2</v>
      </c>
      <c r="L8">
        <v>20</v>
      </c>
      <c r="M8">
        <f t="shared" si="0"/>
        <v>10</v>
      </c>
      <c r="N8" s="20" t="s">
        <v>30</v>
      </c>
      <c r="O8" s="14">
        <v>0.0354</v>
      </c>
      <c r="R8" s="14">
        <v>0.0354</v>
      </c>
    </row>
    <row r="9" spans="1:18">
      <c r="A9">
        <f t="shared" si="1"/>
        <v>7</v>
      </c>
      <c r="B9" s="13" t="s">
        <v>62</v>
      </c>
      <c r="C9" s="29" t="s">
        <v>63</v>
      </c>
      <c r="D9" s="29" t="s">
        <v>64</v>
      </c>
      <c r="E9" s="29" t="s">
        <v>65</v>
      </c>
      <c r="F9" s="29" t="s">
        <v>66</v>
      </c>
      <c r="G9" t="s">
        <v>67</v>
      </c>
      <c r="H9" s="14" t="s">
        <v>68</v>
      </c>
      <c r="I9" s="14" t="s">
        <v>69</v>
      </c>
      <c r="J9" s="30" t="s">
        <v>70</v>
      </c>
      <c r="K9" s="22">
        <v>5</v>
      </c>
      <c r="L9">
        <v>100</v>
      </c>
      <c r="M9">
        <f t="shared" si="0"/>
        <v>25</v>
      </c>
      <c r="N9" s="20" t="s">
        <v>30</v>
      </c>
      <c r="O9" s="14">
        <v>0.0012</v>
      </c>
      <c r="R9" s="14">
        <v>0.0012</v>
      </c>
    </row>
    <row r="10" spans="1:13">
      <c r="A10">
        <f t="shared" si="1"/>
        <v>8</v>
      </c>
      <c r="B10" s="13"/>
      <c r="C10" s="29" t="s">
        <v>71</v>
      </c>
      <c r="D10" s="29" t="s">
        <v>72</v>
      </c>
      <c r="E10" s="29" t="s">
        <v>73</v>
      </c>
      <c r="F10" s="29" t="s">
        <v>73</v>
      </c>
      <c r="G10" t="s">
        <v>74</v>
      </c>
      <c r="J10" s="30" t="s">
        <v>70</v>
      </c>
      <c r="K10" s="22">
        <v>1</v>
      </c>
      <c r="M10">
        <f t="shared" si="0"/>
        <v>5</v>
      </c>
    </row>
    <row r="11" spans="1:18">
      <c r="A11">
        <f t="shared" si="1"/>
        <v>9</v>
      </c>
      <c r="B11" s="13"/>
      <c r="C11" s="29" t="s">
        <v>75</v>
      </c>
      <c r="D11" s="29" t="s">
        <v>76</v>
      </c>
      <c r="E11" s="29" t="s">
        <v>65</v>
      </c>
      <c r="F11" s="29" t="s">
        <v>77</v>
      </c>
      <c r="G11" t="s">
        <v>78</v>
      </c>
      <c r="H11" s="12" t="s">
        <v>79</v>
      </c>
      <c r="J11" s="30" t="s">
        <v>80</v>
      </c>
      <c r="K11" s="22">
        <v>2</v>
      </c>
      <c r="L11">
        <v>100</v>
      </c>
      <c r="M11">
        <f t="shared" si="0"/>
        <v>10</v>
      </c>
      <c r="N11" s="20" t="s">
        <v>30</v>
      </c>
      <c r="O11" s="14">
        <v>0.0016</v>
      </c>
      <c r="R11" s="14">
        <v>0.0016</v>
      </c>
    </row>
    <row r="12" spans="1:18">
      <c r="A12">
        <f t="shared" si="1"/>
        <v>10</v>
      </c>
      <c r="B12" s="13"/>
      <c r="C12" s="29" t="s">
        <v>81</v>
      </c>
      <c r="D12" s="29" t="s">
        <v>82</v>
      </c>
      <c r="E12" s="29" t="s">
        <v>65</v>
      </c>
      <c r="F12" s="29" t="s">
        <v>83</v>
      </c>
      <c r="G12" t="s">
        <v>78</v>
      </c>
      <c r="H12" s="12" t="s">
        <v>84</v>
      </c>
      <c r="I12" s="12" t="s">
        <v>85</v>
      </c>
      <c r="J12" s="30" t="s">
        <v>86</v>
      </c>
      <c r="K12" s="22">
        <v>1</v>
      </c>
      <c r="L12">
        <v>100</v>
      </c>
      <c r="M12">
        <f t="shared" si="0"/>
        <v>5</v>
      </c>
      <c r="N12" s="20" t="s">
        <v>30</v>
      </c>
      <c r="O12" s="14">
        <v>0.0017</v>
      </c>
      <c r="R12" s="14">
        <v>0.0017</v>
      </c>
    </row>
    <row r="13" spans="1:18">
      <c r="A13">
        <f t="shared" si="1"/>
        <v>11</v>
      </c>
      <c r="B13" s="13"/>
      <c r="C13" s="29" t="s">
        <v>87</v>
      </c>
      <c r="D13" s="29" t="s">
        <v>88</v>
      </c>
      <c r="E13" s="29" t="s">
        <v>65</v>
      </c>
      <c r="F13" s="29" t="s">
        <v>89</v>
      </c>
      <c r="G13" t="s">
        <v>78</v>
      </c>
      <c r="H13" s="12" t="s">
        <v>90</v>
      </c>
      <c r="I13" s="15"/>
      <c r="J13" s="30" t="s">
        <v>91</v>
      </c>
      <c r="K13" s="22">
        <v>3</v>
      </c>
      <c r="L13">
        <v>100</v>
      </c>
      <c r="M13">
        <f t="shared" si="0"/>
        <v>15</v>
      </c>
      <c r="N13" s="20" t="s">
        <v>30</v>
      </c>
      <c r="O13" s="14">
        <v>0.0019</v>
      </c>
      <c r="R13" s="14">
        <v>0.0019</v>
      </c>
    </row>
    <row r="14" spans="1:13">
      <c r="A14">
        <f t="shared" si="1"/>
        <v>12</v>
      </c>
      <c r="B14" s="13"/>
      <c r="C14" s="29" t="s">
        <v>92</v>
      </c>
      <c r="D14" s="29" t="s">
        <v>93</v>
      </c>
      <c r="E14" s="29" t="s">
        <v>65</v>
      </c>
      <c r="F14" s="29" t="s">
        <v>94</v>
      </c>
      <c r="G14" t="s">
        <v>95</v>
      </c>
      <c r="H14" s="15"/>
      <c r="J14" s="30" t="s">
        <v>96</v>
      </c>
      <c r="K14" s="22">
        <v>1</v>
      </c>
      <c r="M14">
        <f t="shared" si="0"/>
        <v>5</v>
      </c>
    </row>
    <row r="15" spans="1:13">
      <c r="A15">
        <f t="shared" si="1"/>
        <v>13</v>
      </c>
      <c r="B15" s="13"/>
      <c r="C15" s="29" t="s">
        <v>97</v>
      </c>
      <c r="D15" s="29" t="s">
        <v>98</v>
      </c>
      <c r="E15" s="29" t="s">
        <v>65</v>
      </c>
      <c r="F15" s="29" t="s">
        <v>99</v>
      </c>
      <c r="G15" t="s">
        <v>100</v>
      </c>
      <c r="J15" s="30" t="s">
        <v>101</v>
      </c>
      <c r="K15" s="22">
        <v>1</v>
      </c>
      <c r="M15">
        <f t="shared" si="0"/>
        <v>5</v>
      </c>
    </row>
    <row r="16" spans="1:13">
      <c r="A16">
        <f t="shared" si="1"/>
        <v>14</v>
      </c>
      <c r="B16" s="13"/>
      <c r="C16" s="29" t="s">
        <v>102</v>
      </c>
      <c r="D16" s="29" t="s">
        <v>103</v>
      </c>
      <c r="E16" s="29" t="s">
        <v>65</v>
      </c>
      <c r="F16" s="29" t="s">
        <v>104</v>
      </c>
      <c r="G16" t="s">
        <v>78</v>
      </c>
      <c r="J16" s="30" t="s">
        <v>105</v>
      </c>
      <c r="K16" s="22">
        <v>1</v>
      </c>
      <c r="M16">
        <f t="shared" si="0"/>
        <v>5</v>
      </c>
    </row>
    <row r="17" spans="1:13">
      <c r="A17">
        <f t="shared" si="1"/>
        <v>15</v>
      </c>
      <c r="B17" s="13"/>
      <c r="C17" s="29" t="s">
        <v>106</v>
      </c>
      <c r="D17" s="29" t="s">
        <v>107</v>
      </c>
      <c r="E17" s="29" t="s">
        <v>65</v>
      </c>
      <c r="F17" s="29" t="s">
        <v>108</v>
      </c>
      <c r="G17" t="s">
        <v>78</v>
      </c>
      <c r="J17" s="30" t="s">
        <v>109</v>
      </c>
      <c r="K17" s="22">
        <v>1</v>
      </c>
      <c r="M17">
        <f t="shared" si="0"/>
        <v>5</v>
      </c>
    </row>
    <row r="18" spans="1:13">
      <c r="A18">
        <f t="shared" si="1"/>
        <v>16</v>
      </c>
      <c r="B18" s="13"/>
      <c r="C18" s="29" t="s">
        <v>110</v>
      </c>
      <c r="D18" s="29" t="s">
        <v>111</v>
      </c>
      <c r="E18" s="29" t="s">
        <v>65</v>
      </c>
      <c r="F18" s="29" t="s">
        <v>112</v>
      </c>
      <c r="G18" t="s">
        <v>78</v>
      </c>
      <c r="J18" s="30" t="s">
        <v>113</v>
      </c>
      <c r="K18" s="22">
        <v>4</v>
      </c>
      <c r="M18">
        <f t="shared" si="0"/>
        <v>20</v>
      </c>
    </row>
    <row r="19" spans="1:13">
      <c r="A19">
        <f t="shared" si="1"/>
        <v>17</v>
      </c>
      <c r="B19" s="13" t="s">
        <v>114</v>
      </c>
      <c r="C19" s="29" t="s">
        <v>115</v>
      </c>
      <c r="D19" s="29" t="s">
        <v>116</v>
      </c>
      <c r="E19" s="29" t="s">
        <v>117</v>
      </c>
      <c r="F19" s="29" t="s">
        <v>117</v>
      </c>
      <c r="J19" s="21"/>
      <c r="K19" s="22">
        <v>1</v>
      </c>
      <c r="M19">
        <f t="shared" si="0"/>
        <v>5</v>
      </c>
    </row>
    <row r="20" spans="1:13">
      <c r="A20">
        <f t="shared" si="1"/>
        <v>18</v>
      </c>
      <c r="B20" s="13" t="s">
        <v>118</v>
      </c>
      <c r="C20" s="29" t="s">
        <v>119</v>
      </c>
      <c r="D20" s="29" t="s">
        <v>120</v>
      </c>
      <c r="E20" s="29" t="s">
        <v>121</v>
      </c>
      <c r="F20" s="29" t="s">
        <v>121</v>
      </c>
      <c r="G20" t="s">
        <v>122</v>
      </c>
      <c r="J20" s="21"/>
      <c r="K20" s="22">
        <v>2</v>
      </c>
      <c r="M20">
        <f t="shared" si="0"/>
        <v>10</v>
      </c>
    </row>
    <row r="21" spans="1:13">
      <c r="A21">
        <f t="shared" si="1"/>
        <v>19</v>
      </c>
      <c r="B21" s="13" t="s">
        <v>123</v>
      </c>
      <c r="C21" s="29" t="s">
        <v>124</v>
      </c>
      <c r="D21" s="29" t="s">
        <v>125</v>
      </c>
      <c r="E21" s="29" t="s">
        <v>126</v>
      </c>
      <c r="F21" s="29" t="s">
        <v>126</v>
      </c>
      <c r="G21" t="s">
        <v>127</v>
      </c>
      <c r="J21" s="21"/>
      <c r="K21" s="22">
        <v>1</v>
      </c>
      <c r="M21">
        <f t="shared" si="0"/>
        <v>5</v>
      </c>
    </row>
    <row r="22" spans="1:13">
      <c r="A22">
        <f t="shared" si="1"/>
        <v>20</v>
      </c>
      <c r="B22" s="13"/>
      <c r="C22" s="29" t="s">
        <v>128</v>
      </c>
      <c r="D22" s="29" t="s">
        <v>129</v>
      </c>
      <c r="E22" s="29" t="s">
        <v>130</v>
      </c>
      <c r="F22" s="29" t="s">
        <v>131</v>
      </c>
      <c r="G22" t="s">
        <v>132</v>
      </c>
      <c r="J22" s="21"/>
      <c r="K22" s="22">
        <v>1</v>
      </c>
      <c r="M22">
        <f t="shared" si="0"/>
        <v>5</v>
      </c>
    </row>
    <row r="23" spans="1:13">
      <c r="A23">
        <f t="shared" si="1"/>
        <v>21</v>
      </c>
      <c r="B23" s="13"/>
      <c r="C23" s="29" t="s">
        <v>133</v>
      </c>
      <c r="D23" s="29" t="s">
        <v>134</v>
      </c>
      <c r="E23" s="29" t="s">
        <v>135</v>
      </c>
      <c r="F23" s="29" t="s">
        <v>136</v>
      </c>
      <c r="G23" t="s">
        <v>137</v>
      </c>
      <c r="J23" s="21"/>
      <c r="K23" s="22">
        <v>1</v>
      </c>
      <c r="M23">
        <f t="shared" si="0"/>
        <v>5</v>
      </c>
    </row>
    <row r="24" spans="1:13">
      <c r="A24">
        <f t="shared" si="1"/>
        <v>22</v>
      </c>
      <c r="B24" s="13"/>
      <c r="C24" s="29" t="s">
        <v>138</v>
      </c>
      <c r="D24" s="29" t="s">
        <v>139</v>
      </c>
      <c r="E24" s="29" t="s">
        <v>140</v>
      </c>
      <c r="F24" s="29" t="s">
        <v>140</v>
      </c>
      <c r="G24" t="s">
        <v>141</v>
      </c>
      <c r="J24" s="21"/>
      <c r="K24" s="22">
        <v>1</v>
      </c>
      <c r="M24">
        <f t="shared" si="0"/>
        <v>5</v>
      </c>
    </row>
    <row r="25" spans="1:13">
      <c r="A25">
        <f t="shared" si="1"/>
        <v>23</v>
      </c>
      <c r="B25" s="13"/>
      <c r="C25" s="31" t="s">
        <v>142</v>
      </c>
      <c r="D25" s="31" t="s">
        <v>143</v>
      </c>
      <c r="E25" s="31" t="s">
        <v>144</v>
      </c>
      <c r="F25" s="31" t="s">
        <v>145</v>
      </c>
      <c r="G25" t="s">
        <v>55</v>
      </c>
      <c r="J25" s="23"/>
      <c r="K25" s="24">
        <v>1</v>
      </c>
      <c r="M25">
        <f t="shared" si="0"/>
        <v>5</v>
      </c>
    </row>
    <row r="26" spans="1:13">
      <c r="A26">
        <f t="shared" si="1"/>
        <v>24</v>
      </c>
      <c r="B26" s="13" t="s">
        <v>146</v>
      </c>
      <c r="C26" s="29" t="s">
        <v>147</v>
      </c>
      <c r="D26" s="29" t="s">
        <v>148</v>
      </c>
      <c r="E26" s="29" t="s">
        <v>149</v>
      </c>
      <c r="F26" s="29" t="s">
        <v>149</v>
      </c>
      <c r="G26" t="s">
        <v>150</v>
      </c>
      <c r="J26" s="21"/>
      <c r="K26" s="22">
        <v>1</v>
      </c>
      <c r="M26">
        <f t="shared" si="0"/>
        <v>5</v>
      </c>
    </row>
    <row r="27" spans="1:13">
      <c r="A27">
        <f t="shared" si="1"/>
        <v>25</v>
      </c>
      <c r="B27" s="13"/>
      <c r="C27" s="29" t="s">
        <v>151</v>
      </c>
      <c r="D27" s="29" t="s">
        <v>152</v>
      </c>
      <c r="E27" s="29" t="s">
        <v>153</v>
      </c>
      <c r="F27" s="29" t="s">
        <v>153</v>
      </c>
      <c r="G27" t="s">
        <v>154</v>
      </c>
      <c r="J27" s="21"/>
      <c r="K27" s="22">
        <v>1</v>
      </c>
      <c r="M27">
        <f t="shared" si="0"/>
        <v>5</v>
      </c>
    </row>
    <row r="28" spans="1:13">
      <c r="A28">
        <f t="shared" si="1"/>
        <v>26</v>
      </c>
      <c r="B28" s="13"/>
      <c r="C28" s="29" t="s">
        <v>155</v>
      </c>
      <c r="D28" s="29" t="s">
        <v>156</v>
      </c>
      <c r="E28" s="29" t="s">
        <v>157</v>
      </c>
      <c r="F28" s="29" t="s">
        <v>157</v>
      </c>
      <c r="J28" s="21"/>
      <c r="K28" s="22">
        <v>5</v>
      </c>
      <c r="M28">
        <f t="shared" si="0"/>
        <v>25</v>
      </c>
    </row>
    <row r="29" spans="1:13">
      <c r="A29">
        <f t="shared" si="1"/>
        <v>27</v>
      </c>
      <c r="B29" s="13"/>
      <c r="C29" s="29" t="s">
        <v>158</v>
      </c>
      <c r="D29" s="29" t="s">
        <v>159</v>
      </c>
      <c r="E29" s="29" t="s">
        <v>160</v>
      </c>
      <c r="F29" s="29" t="s">
        <v>160</v>
      </c>
      <c r="J29" s="21"/>
      <c r="K29" s="22">
        <v>1</v>
      </c>
      <c r="M29">
        <f t="shared" si="0"/>
        <v>5</v>
      </c>
    </row>
  </sheetData>
  <mergeCells count="6">
    <mergeCell ref="A1:T1"/>
    <mergeCell ref="B3:B5"/>
    <mergeCell ref="B7:B8"/>
    <mergeCell ref="B9:B18"/>
    <mergeCell ref="B21:B25"/>
    <mergeCell ref="B26:B29"/>
  </mergeCells>
  <hyperlinks>
    <hyperlink ref="N3" r:id="rId1" display="LCSC"/>
    <hyperlink ref="N4" r:id="rId2" display="LCSC"/>
    <hyperlink ref="N5" r:id="rId3" display="LCSC"/>
    <hyperlink ref="N6" r:id="rId4" display="LCSC"/>
    <hyperlink ref="N7" r:id="rId5" display="LCSC"/>
    <hyperlink ref="N8" r:id="rId6" display="LCSC"/>
    <hyperlink ref="N9" r:id="rId7" display="LCSC"/>
    <hyperlink ref="N11" r:id="rId8" display="LCSC"/>
    <hyperlink ref="N12" r:id="rId9" display="LCSC"/>
    <hyperlink ref="N13" r:id="rId10" display="LCSC"/>
  </hyperlinks>
  <printOptions horizontalCentered="1" verticalCentered="1"/>
  <pageMargins left="0.305555555555556" right="0.305555555555556" top="0.305555555555556" bottom="0.305555555555556" header="0" footer="0"/>
  <pageSetup paperSize="1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Rackmonitor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texon</cp:lastModifiedBy>
  <dcterms:created xsi:type="dcterms:W3CDTF">2021-09-20T07:25:00Z</dcterms:created>
  <dcterms:modified xsi:type="dcterms:W3CDTF">2021-09-20T09:13:44Z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B05E5C7961D94C6E87931889CA87A351</vt:lpwstr>
  </property>
  <property fmtid="{D5CDD505-2E9C-101B-9397-08002B2CF9AE}" pid="3" name="KSOProductBuildVer">
    <vt:lpwstr>1033-11.2.0.10265</vt:lpwstr>
  </property>
</Properties>
</file>